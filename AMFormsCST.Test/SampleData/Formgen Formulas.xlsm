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solerainc-my.sharepoint.com/personal/dakota_jordan_solera_com/Documents/Documents/"/>
    </mc:Choice>
  </mc:AlternateContent>
  <xr:revisionPtr revIDLastSave="34" documentId="13_ncr:1_{203122D6-894F-46A6-B7C7-6032E709ED5D}" xr6:coauthVersionLast="47" xr6:coauthVersionMax="47" xr10:uidLastSave="{5CBF377C-CB4B-40BB-8FE8-1D5A63717FDD}"/>
  <bookViews>
    <workbookView xWindow="-28920" yWindow="-120" windowWidth="29040" windowHeight="15720" activeTab="1" xr2:uid="{14DEE3EF-5863-427D-B78C-B7B207AB839E}"/>
  </bookViews>
  <sheets>
    <sheet name="Splash Page" sheetId="3" r:id="rId1"/>
    <sheet name="Base Functions" sheetId="1" r:id="rId2"/>
    <sheet name="Custom Formulae" sheetId="2" r:id="rId3"/>
    <sheet name="Math Operations" sheetId="4" r:id="rId4"/>
    <sheet name="Form Name Generator" sheetId="5" state="hidden" r:id="rId5"/>
    <sheet name="Formula Data(DO NOT MODIFY)" sheetId="6" state="hidden" r:id="rId6"/>
    <sheet name="Shhhh it's a secret" sheetId="7" state="hidden"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2" l="1"/>
  <c r="C8" i="2"/>
  <c r="A3" i="5"/>
  <c r="B3" i="6"/>
  <c r="B2" i="6"/>
  <c r="D7" i="4"/>
  <c r="C7" i="4"/>
  <c r="D6" i="4"/>
  <c r="C6" i="4"/>
  <c r="D5" i="4"/>
  <c r="C5" i="4"/>
  <c r="D4" i="4"/>
  <c r="C4" i="4"/>
  <c r="D3" i="4"/>
  <c r="C3" i="4"/>
  <c r="D2" i="4"/>
  <c r="C2" i="4"/>
  <c r="C7" i="2"/>
  <c r="C6" i="2"/>
  <c r="C5" i="2"/>
  <c r="C3" i="2"/>
  <c r="C2" i="2"/>
  <c r="E53" i="1"/>
  <c r="E52" i="1"/>
  <c r="D52" i="1"/>
  <c r="E51" i="1"/>
  <c r="D51" i="1"/>
  <c r="E50" i="1"/>
  <c r="D50" i="1"/>
  <c r="E49" i="1"/>
  <c r="D49" i="1"/>
  <c r="E48" i="1"/>
  <c r="D48" i="1"/>
  <c r="E47" i="1"/>
  <c r="D47" i="1"/>
  <c r="E46" i="1"/>
  <c r="D46" i="1"/>
  <c r="E45" i="1"/>
  <c r="D45" i="1"/>
  <c r="E44" i="1"/>
  <c r="D44" i="1"/>
  <c r="E43" i="1"/>
  <c r="D43" i="1"/>
  <c r="E42" i="1"/>
  <c r="D42" i="1"/>
  <c r="E41" i="1"/>
  <c r="D41" i="1"/>
  <c r="E40" i="1"/>
  <c r="D40" i="1"/>
  <c r="E39" i="1"/>
  <c r="D39" i="1"/>
  <c r="E38" i="1"/>
  <c r="D38" i="1"/>
  <c r="E37" i="1"/>
  <c r="D37" i="1"/>
  <c r="E36" i="1"/>
  <c r="D36" i="1"/>
  <c r="E35" i="1"/>
  <c r="D35" i="1"/>
  <c r="E34" i="1"/>
  <c r="D34" i="1"/>
  <c r="E33" i="1"/>
  <c r="D33" i="1"/>
  <c r="E32" i="1"/>
  <c r="E31" i="1"/>
  <c r="E30" i="1"/>
  <c r="D30" i="1"/>
  <c r="E29" i="1"/>
  <c r="D29" i="1"/>
  <c r="E28" i="1"/>
  <c r="D28" i="1"/>
  <c r="E27" i="1"/>
  <c r="D27" i="1"/>
  <c r="E26" i="1"/>
  <c r="D26" i="1"/>
  <c r="E25" i="1"/>
  <c r="D25" i="1"/>
  <c r="E24" i="1"/>
  <c r="D24" i="1"/>
  <c r="E23" i="1"/>
  <c r="D23" i="1"/>
  <c r="E22" i="1"/>
  <c r="D22" i="1"/>
  <c r="E21" i="1"/>
  <c r="D21" i="1"/>
  <c r="E20" i="1"/>
  <c r="D20" i="1"/>
  <c r="E19" i="1"/>
  <c r="D19" i="1"/>
  <c r="E18" i="1"/>
  <c r="D18" i="1"/>
  <c r="E17" i="1"/>
  <c r="D17" i="1"/>
  <c r="E16" i="1"/>
  <c r="D16" i="1"/>
  <c r="E15" i="1"/>
  <c r="D15" i="1"/>
  <c r="E14" i="1"/>
  <c r="D14" i="1"/>
  <c r="E13" i="1"/>
  <c r="D13" i="1"/>
  <c r="E11" i="1"/>
  <c r="D11" i="1"/>
  <c r="E10" i="1"/>
  <c r="D10" i="1"/>
  <c r="E9" i="1"/>
  <c r="D9" i="1"/>
  <c r="E8" i="1"/>
  <c r="D8" i="1"/>
  <c r="E7" i="1"/>
  <c r="D7" i="1"/>
  <c r="E6" i="1"/>
  <c r="D6" i="1"/>
  <c r="E5" i="1"/>
  <c r="D5" i="1"/>
  <c r="E4" i="1"/>
  <c r="D4" i="1"/>
  <c r="E3" i="1"/>
  <c r="D3" i="1"/>
  <c r="E2" i="1"/>
  <c r="D2" i="1"/>
  <c r="R1" i="1"/>
  <c r="F12" i="1" s="1"/>
  <c r="E12" i="1" l="1"/>
  <c r="D12" i="1"/>
</calcChain>
</file>

<file path=xl/sharedStrings.xml><?xml version="1.0" encoding="utf-8"?>
<sst xmlns="http://schemas.openxmlformats.org/spreadsheetml/2006/main" count="289" uniqueCount="271">
  <si>
    <t>Input 2</t>
  </si>
  <si>
    <t>Input 1</t>
  </si>
  <si>
    <t>Generic Formula</t>
  </si>
  <si>
    <t>Input 3</t>
  </si>
  <si>
    <t>Input 4</t>
  </si>
  <si>
    <t>Input 5</t>
  </si>
  <si>
    <t>Input 6</t>
  </si>
  <si>
    <t>Input 7</t>
  </si>
  <si>
    <t>Input 8</t>
  </si>
  <si>
    <t>Input 9</t>
  </si>
  <si>
    <t>Input 10</t>
  </si>
  <si>
    <t>Output</t>
  </si>
  <si>
    <t>today()</t>
  </si>
  <si>
    <t>Notes</t>
  </si>
  <si>
    <t>Makes anything true, false, and anything false, true</t>
  </si>
  <si>
    <t>returns true if all arguments are true</t>
  </si>
  <si>
    <t>Returns true if any arguments are true</t>
  </si>
  <si>
    <t>Adds specified number of days to specified date</t>
  </si>
  <si>
    <t>Adds specified number of months to specified date</t>
  </si>
  <si>
    <t>Adds specified number of years to specified date</t>
  </si>
  <si>
    <t>Adds specified number of weeks to specified date</t>
  </si>
  <si>
    <t>only works with TODAY() or date prompts. Extracts the month code from the date.</t>
  </si>
  <si>
    <t>AddDays(Date,whole number)</t>
  </si>
  <si>
    <t>AddWeeks(Date,whole number)</t>
  </si>
  <si>
    <t>Not(TRUE/FALSE)</t>
  </si>
  <si>
    <t>And(TRUE/FALSE,TRUE/FALSE,…TRUE/FALSE)</t>
  </si>
  <si>
    <t>OR(TRUE/FALSE,TRUE/FALSE,…TRUE/FALSE)</t>
  </si>
  <si>
    <t>AddMonths(Date,whole numbe)</t>
  </si>
  <si>
    <t>AddYears(Date,whole numbe)</t>
  </si>
  <si>
    <t>Month(Date)</t>
  </si>
  <si>
    <t>Day(Date)</t>
  </si>
  <si>
    <t>Year(Date)</t>
  </si>
  <si>
    <t>Date(Text)</t>
  </si>
  <si>
    <t>Text(number or date)</t>
  </si>
  <si>
    <t>converts text that looks like a date to a date. Seems to be functionally useless</t>
  </si>
  <si>
    <t>Num(Text or Date)</t>
  </si>
  <si>
    <t>Converts either a number or a date to text. Can be used to circumvent justification requirements like right justified numbers. Functionally useless with a date</t>
  </si>
  <si>
    <t>Converts either a date, or text to a number if possible. Can be useful if you're need to do math on a field but it returns a string. Can be used with a few other functions to get the day, month, or year out of dates that aren't Today() or a prompt</t>
  </si>
  <si>
    <t>IF(true/false,any,any)</t>
  </si>
  <si>
    <t>returns the 2nd argument if the first argument is true, and the 3rd argument if the first argument is false. Ie if(condition, result if condition is true, result if condition is false)</t>
  </si>
  <si>
    <t>Happy</t>
  </si>
  <si>
    <t>Sad</t>
  </si>
  <si>
    <t>xif(TRUE/FALSE)</t>
  </si>
  <si>
    <t>Returns and X if the condition is true, and nothig if its false</t>
  </si>
  <si>
    <t>xxif(TRUE/FALSE)</t>
  </si>
  <si>
    <t>Returns an XX if the condition is true, and nothig if its false</t>
  </si>
  <si>
    <t>Contains(text,text)</t>
  </si>
  <si>
    <t>this is a test string</t>
  </si>
  <si>
    <t xml:space="preserve">Retruns true of argument 2 is contained within argument 1, returns false if not. I.E. Contains(does this string contain, this string) </t>
  </si>
  <si>
    <t>hi</t>
  </si>
  <si>
    <t>strip(text,text)</t>
  </si>
  <si>
    <t>Removes all occurences of argument 2 from argument 1. ie STRIP(Text stuff is being removed from, stuff to remove)</t>
  </si>
  <si>
    <t>Hello World!</t>
  </si>
  <si>
    <t>orl</t>
  </si>
  <si>
    <t>Replace(text,text,text)</t>
  </si>
  <si>
    <t>Replaces all occurences of argument 2 with argument 3 within argument 1. ie Replace(text stuff is happening in, unwanted text, replacement text)</t>
  </si>
  <si>
    <t>ll</t>
  </si>
  <si>
    <t>rr</t>
  </si>
  <si>
    <t>seplist(text,text,…text)</t>
  </si>
  <si>
    <t xml:space="preserve">Add arguments 2 and beyond, separated with argument 1. i.e SEPLIST(Delimiter, part1, part2,…part10) </t>
  </si>
  <si>
    <t>-</t>
  </si>
  <si>
    <t>Case(any,any,any,…any)</t>
  </si>
  <si>
    <t>one</t>
  </si>
  <si>
    <t>three</t>
  </si>
  <si>
    <t>five</t>
  </si>
  <si>
    <t>seven</t>
  </si>
  <si>
    <t>something else</t>
  </si>
  <si>
    <t>Very similar to the case function, except instead of comparisons needing to be exactly equal, they can be less than or equal to the thing to compare</t>
  </si>
  <si>
    <t>Caselte(number,number,any,number,any…any)</t>
  </si>
  <si>
    <t>1-10</t>
  </si>
  <si>
    <t>20</t>
  </si>
  <si>
    <t>11-20</t>
  </si>
  <si>
    <t>30</t>
  </si>
  <si>
    <t>21-30</t>
  </si>
  <si>
    <t>40</t>
  </si>
  <si>
    <t>31-40</t>
  </si>
  <si>
    <t>other</t>
  </si>
  <si>
    <t>MatchRange(number,number,number…number)</t>
  </si>
  <si>
    <t>Very similar to case except instead of being exactly equal in comparison, each scenario must be between a given range. Ie MATCHRANGE(thing to compare, LowerBound1, UpperBound1, result1, LowerBound2, UpperBound2, result2, default) NUMBERS ONLY</t>
  </si>
  <si>
    <t>PI</t>
  </si>
  <si>
    <t>blank(Field or prompt)</t>
  </si>
  <si>
    <t>a</t>
  </si>
  <si>
    <t>returns true if the argument is blank and false if it contains a value</t>
  </si>
  <si>
    <t>notblank(field or prompt)</t>
  </si>
  <si>
    <t>the exact opposite of BLANK()</t>
  </si>
  <si>
    <t>len(Date or Number, or text)</t>
  </si>
  <si>
    <t>returns the number of characters in the argument</t>
  </si>
  <si>
    <t>trim(text or number)</t>
  </si>
  <si>
    <t xml:space="preserve">                    20 spaces                    </t>
  </si>
  <si>
    <t>removes trailing and leading spaces. This happens automatically in formgen so the trim family of functions are functionally useless</t>
  </si>
  <si>
    <t>removes leading spaces. This happens automatically in formgen so the trim family of functions are functionally useless</t>
  </si>
  <si>
    <t>ltrim(text or number)</t>
  </si>
  <si>
    <t>rtrim(Text or number)</t>
  </si>
  <si>
    <t>removes trailing spaces. This happens automatically in formgen so the trim family of functions are functionally useless</t>
  </si>
  <si>
    <t>Returns the current date. Takes no arguments.</t>
  </si>
  <si>
    <t>TODAY()</t>
  </si>
  <si>
    <t>random()</t>
  </si>
  <si>
    <t>Returns a random number between 0 and 1 with less than 40 digits after the decimal. Takes no arguments</t>
  </si>
  <si>
    <t>RANDOM()</t>
  </si>
  <si>
    <t>ROUND(number, whole number)</t>
  </si>
  <si>
    <t>Rounds the first argument to the number of decimal places specified in the second argument. Rounding is to the nearest digit iw 1.5 rounds to 2 and 1.4 rounds to 1.</t>
  </si>
  <si>
    <t>FLOOR(number)</t>
  </si>
  <si>
    <t>CEILING(number)</t>
  </si>
  <si>
    <t>Rounds the argument down to the previous whole number 1.9 rounds to 1</t>
  </si>
  <si>
    <t>Rounds the argument up to the next whole number 1.9 rounds to 1</t>
  </si>
  <si>
    <t>ABS(number)</t>
  </si>
  <si>
    <t xml:space="preserve">Returns fow far the arguments is from 0. Number is always positive. </t>
  </si>
  <si>
    <t>SIN(number)</t>
  </si>
  <si>
    <t>Performs the Sine function on the argument</t>
  </si>
  <si>
    <t>COS(number)</t>
  </si>
  <si>
    <t>Performs the Cosine function on the argument</t>
  </si>
  <si>
    <t>TAN(number)</t>
  </si>
  <si>
    <t>Performs the Tangent function on the argument</t>
  </si>
  <si>
    <t>ASIN(number)</t>
  </si>
  <si>
    <t>ACOS(number)</t>
  </si>
  <si>
    <t>Performs the Arccosine function on the argument. Argument must be from -1 to 1</t>
  </si>
  <si>
    <t>Performs the Arcsine function on the argument. Argument must be from -1 to 1</t>
  </si>
  <si>
    <t>ATAN(number)</t>
  </si>
  <si>
    <t>Performs the Arctangent function on the argument</t>
  </si>
  <si>
    <t>Performs the Hyperbolic Sine function on the argument</t>
  </si>
  <si>
    <t>SINH(number)</t>
  </si>
  <si>
    <t>COSH(number)</t>
  </si>
  <si>
    <t>Performs the Hyperbolic Cosine function on the argument</t>
  </si>
  <si>
    <t>TANH(number)</t>
  </si>
  <si>
    <t>Performs the Hyperbolic Tangent function on the argument</t>
  </si>
  <si>
    <t>RAD(number)</t>
  </si>
  <si>
    <t>Converts the argument from angular degrees to radians</t>
  </si>
  <si>
    <t>DEG(number)</t>
  </si>
  <si>
    <t>Converts the argument from radians to angular degrees</t>
  </si>
  <si>
    <t>MAX(number,number,…number)</t>
  </si>
  <si>
    <t>Returns the largest of the given arguments</t>
  </si>
  <si>
    <t>MIN(number,number,…number)</t>
  </si>
  <si>
    <t>Returns the smallest of the given arguments</t>
  </si>
  <si>
    <t>LOG(number)</t>
  </si>
  <si>
    <t>Returns the natural logarithm, log base e, or the argument</t>
  </si>
  <si>
    <t>LOG10(number)</t>
  </si>
  <si>
    <t>Returns the Logarithm base 10 on the argument. Functionally returns the number of digits for a whole number.</t>
  </si>
  <si>
    <t>SQRT(positive number)</t>
  </si>
  <si>
    <t>Returns the the square root of the argument. Positive arguments only</t>
  </si>
  <si>
    <t>Returns the digits of PI to 33 decimal places. DOES NOT USE PARENTHESIS</t>
  </si>
  <si>
    <t>Description</t>
  </si>
  <si>
    <t>Argument 1</t>
  </si>
  <si>
    <t>Argument 2</t>
  </si>
  <si>
    <t>Divisor</t>
  </si>
  <si>
    <t>Convert a 2 digit month into it's named equivalent</t>
  </si>
  <si>
    <t>Adds a th, st,nd,or rd to a number.</t>
  </si>
  <si>
    <t>Number</t>
  </si>
  <si>
    <t xml:space="preserve">Adds a leading 0 to a 1 digit number. </t>
  </si>
  <si>
    <t>Equivalent to nested if statements, but more compact. Ie case(thing to compare, if this to compare equals this, do this, else if thing to compare equals this, do this…else do this). Argument 1 is always the thing to compare against, the last argument is an optional default case if nothing else matches, every other argument is in a pair of test and result.</t>
  </si>
  <si>
    <t>Format city/state/zip to City, State Zip</t>
  </si>
  <si>
    <t>State</t>
  </si>
  <si>
    <t>Argument 3</t>
  </si>
  <si>
    <t>The purpose of this spreadsheet is to provide documentation for the available formgen formula functions. This spreadsheet was designed to allow you to interact with the functions to gain a basic understanding of how they work. This spreadsheet was also designed to allow you to plug in your own fields and copy the function over to formgen. This can be useful for complex functions that require multiple inputs, or inputs to be used multiple times.</t>
  </si>
  <si>
    <t>Cells in dark grey should not be modified in any way. Most of these contain excel functions that allow things to display properly</t>
  </si>
  <si>
    <t>Cells in light grey should also not be modified, but are intended to be copied for pasting into formgen. These cells also contain excel formulas to make sure the formgen function is formatted properly.</t>
  </si>
  <si>
    <t>Cells with no fill are intended for you to put your own fields or data into. Feel free to change these fields all you like to set up a formula to be copied or to test the functionality of a function.</t>
  </si>
  <si>
    <t>Formula (Copy this)</t>
  </si>
  <si>
    <t>Formula Example(Copy this)</t>
  </si>
  <si>
    <t>Name</t>
  </si>
  <si>
    <t>Symbol</t>
  </si>
  <si>
    <t>Usage</t>
  </si>
  <si>
    <t>Number 1</t>
  </si>
  <si>
    <t>Number 2</t>
  </si>
  <si>
    <t>Plus</t>
  </si>
  <si>
    <t>+</t>
  </si>
  <si>
    <t>Result</t>
  </si>
  <si>
    <t>Minus</t>
  </si>
  <si>
    <t>Times</t>
  </si>
  <si>
    <t>*</t>
  </si>
  <si>
    <t>Divide</t>
  </si>
  <si>
    <t>/</t>
  </si>
  <si>
    <t>Modulus</t>
  </si>
  <si>
    <t>%</t>
  </si>
  <si>
    <t>e</t>
  </si>
  <si>
    <t>Scientific Notation</t>
  </si>
  <si>
    <t>Left justified number Argument 2 should be 2 for money and 0 for whole numbers)</t>
  </si>
  <si>
    <t>Convert Prompted date or Today() with 4 digit year to date with 2 digit year</t>
  </si>
  <si>
    <t>PromptedDate</t>
  </si>
  <si>
    <t>Alternate Description</t>
  </si>
  <si>
    <t>Alternate Notes</t>
  </si>
  <si>
    <t>mm/dd/yyyy to mm/dd/yy   PROMPTED DATE OR TODAY() ONLY</t>
  </si>
  <si>
    <t>MONTH() Month code = 11</t>
  </si>
  <si>
    <t>DAY()          Day code = 15</t>
  </si>
  <si>
    <t>YEAR() Year Code = 2021</t>
  </si>
  <si>
    <t>MODULUS 2021           %100              = 21</t>
  </si>
  <si>
    <t>Year Code = 21</t>
  </si>
  <si>
    <t>INPUT 11/15/2021</t>
  </si>
  <si>
    <t>OUTPUT SEPLIST()  11/15/21</t>
  </si>
  <si>
    <t>Form Name</t>
  </si>
  <si>
    <t>Form Code</t>
  </si>
  <si>
    <t>Revision Date</t>
  </si>
  <si>
    <t>Impact?</t>
  </si>
  <si>
    <t>LAW?</t>
  </si>
  <si>
    <t>Company/Bank</t>
  </si>
  <si>
    <t>States</t>
  </si>
  <si>
    <t>AL</t>
  </si>
  <si>
    <t>AK</t>
  </si>
  <si>
    <t>AZ</t>
  </si>
  <si>
    <t>AR</t>
  </si>
  <si>
    <t>CA</t>
  </si>
  <si>
    <t>CO</t>
  </si>
  <si>
    <t>CT</t>
  </si>
  <si>
    <t>DE</t>
  </si>
  <si>
    <t>DC</t>
  </si>
  <si>
    <t>FL</t>
  </si>
  <si>
    <t>GA</t>
  </si>
  <si>
    <t>HI</t>
  </si>
  <si>
    <t>ID</t>
  </si>
  <si>
    <t>IL</t>
  </si>
  <si>
    <t>IN</t>
  </si>
  <si>
    <t>IA</t>
  </si>
  <si>
    <t>KS</t>
  </si>
  <si>
    <t>KY</t>
  </si>
  <si>
    <t>LA</t>
  </si>
  <si>
    <t>ME</t>
  </si>
  <si>
    <t>MD</t>
  </si>
  <si>
    <t>MA</t>
  </si>
  <si>
    <t>MS</t>
  </si>
  <si>
    <t>MI</t>
  </si>
  <si>
    <t>MN</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</si>
  <si>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</si>
  <si>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</si>
  <si>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</si>
  <si>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</si>
  <si>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</si>
  <si>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</si>
  <si>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</si>
  <si>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</si>
  <si>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</si>
  <si>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</si>
  <si>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</si>
  <si>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</si>
  <si>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</si>
  <si>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</si>
  <si>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</si>
  <si>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</si>
  <si>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</si>
  <si>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</si>
  <si>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</si>
  <si>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</si>
  <si>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</si>
  <si>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</si>
  <si>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</si>
  <si>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</si>
  <si>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</si>
  <si>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</si>
  <si>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Boolean</t>
  </si>
  <si>
    <t>YNTF</t>
  </si>
  <si>
    <t>Yes</t>
  </si>
  <si>
    <t>No</t>
  </si>
  <si>
    <t>y</t>
  </si>
  <si>
    <t>n</t>
  </si>
  <si>
    <t>t</t>
  </si>
  <si>
    <t>f</t>
  </si>
  <si>
    <t>Decimals</t>
  </si>
  <si>
    <t>Retail Installment Contract</t>
  </si>
  <si>
    <t>553-NY</t>
  </si>
  <si>
    <t>10/18</t>
  </si>
  <si>
    <t>Make numbers co-operate with seplist</t>
  </si>
  <si>
    <t>OEM / Dealer</t>
  </si>
  <si>
    <t>Vehicle Merchandising</t>
  </si>
  <si>
    <t>Custom</t>
  </si>
  <si>
    <t>Formgen Assistant</t>
  </si>
  <si>
    <t>only works with TODAY() or date prompts. Extracts the day code from the date.</t>
  </si>
  <si>
    <t>only works with TODAY() or date prompts. Extracts the year code from the date.</t>
  </si>
  <si>
    <t>F46</t>
  </si>
  <si>
    <t>F925</t>
  </si>
  <si>
    <t>F926</t>
  </si>
  <si>
    <t>F927</t>
  </si>
  <si>
    <t>F47</t>
  </si>
  <si>
    <t>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</si>
</sst>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6"/>
      <color theme="1"/>
      <name val="Calibri"/>
      <family val="2"/>
      <scheme val="minor"/>
    </font>
    <font>
      <sz val="18"/>
      <color theme="0"/>
      <name val="Calibri"/>
      <family val="2"/>
      <scheme val="minor"/>
    </font>
    <font>
      <sz val="11"/>
      <color rgb="FF202122"/>
      <name val="Arial"/>
      <family val="2"/>
    </font>
    <font>
      <sz val="10"/>
      <color theme="0"/>
      <name val="Calibri"/>
      <family val="2"/>
      <scheme val="minor"/>
    </font>
    <font>
      <b/>
      <sz val="16"/>
      <color theme="0"/>
      <name val="Calibri"/>
      <family val="2"/>
      <scheme val="minor"/>
    </font>
  </fonts>
  <fills count="6">
    <fill>
      <patternFill patternType="none"/>
    </fill>
    <fill>
      <patternFill patternType="gray125"/>
    </fill>
    <fill>
      <patternFill patternType="solid">
        <fgColor theme="0" tint="-0.499984740745262"/>
        <bgColor indexed="64"/>
      </patternFill>
    </fill>
    <fill>
      <patternFill patternType="solid">
        <fgColor theme="0" tint="-0.249977111117893"/>
        <bgColor indexed="64"/>
      </patternFill>
    </fill>
    <fill>
      <patternFill patternType="solid">
        <fgColor theme="1"/>
        <bgColor indexed="64"/>
      </patternFill>
    </fill>
    <fill>
      <patternFill patternType="solid">
        <fgColor theme="0"/>
        <bgColor indexed="64"/>
      </patternFill>
    </fill>
  </fills>
  <borders count="9">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1">
    <xf numFmtId="0" fontId="0" fillId="0" borderId="0"/>
  </cellStyleXfs>
  <cellXfs count="56">
    <xf numFmtId="0" fontId="0" fillId="0" borderId="0" xfId="0"/>
    <xf numFmtId="0" fontId="0" fillId="2" borderId="1" xfId="0" applyFill="1" applyBorder="1" applyAlignment="1">
      <alignment vertical="center"/>
    </xf>
    <xf numFmtId="0" fontId="0" fillId="2" borderId="1" xfId="0" applyFill="1" applyBorder="1" applyAlignment="1">
      <alignment vertical="center" wrapText="1"/>
    </xf>
    <xf numFmtId="14" fontId="0" fillId="2" borderId="1" xfId="0" applyNumberFormat="1" applyFill="1" applyBorder="1" applyAlignment="1">
      <alignment vertical="center"/>
    </xf>
    <xf numFmtId="0" fontId="0" fillId="2" borderId="1" xfId="0" applyFill="1" applyBorder="1" applyAlignment="1">
      <alignment horizontal="right" vertical="center"/>
    </xf>
    <xf numFmtId="0" fontId="0" fillId="3" borderId="1" xfId="0" applyFill="1" applyBorder="1" applyAlignment="1">
      <alignment vertical="center"/>
    </xf>
    <xf numFmtId="14" fontId="0" fillId="3" borderId="1" xfId="0" applyNumberFormat="1" applyFill="1" applyBorder="1" applyAlignment="1">
      <alignment vertical="center"/>
    </xf>
    <xf numFmtId="0" fontId="0" fillId="0" borderId="0" xfId="0" applyAlignment="1">
      <alignment vertical="center" wrapText="1"/>
    </xf>
    <xf numFmtId="0" fontId="0" fillId="2" borderId="0" xfId="0" applyFill="1" applyAlignment="1">
      <alignment vertical="center" wrapText="1"/>
    </xf>
    <xf numFmtId="0" fontId="0" fillId="3" borderId="0" xfId="0" applyFill="1" applyAlignment="1">
      <alignment vertical="center" wrapText="1"/>
    </xf>
    <xf numFmtId="0" fontId="0" fillId="0" borderId="2" xfId="0" applyBorder="1" applyAlignment="1">
      <alignment wrapText="1"/>
    </xf>
    <xf numFmtId="0" fontId="0" fillId="2" borderId="3" xfId="0" applyFill="1" applyBorder="1" applyAlignment="1">
      <alignment wrapText="1"/>
    </xf>
    <xf numFmtId="0" fontId="0" fillId="3" borderId="3" xfId="0" applyFill="1" applyBorder="1" applyAlignment="1">
      <alignment wrapText="1"/>
    </xf>
    <xf numFmtId="0" fontId="0" fillId="0" borderId="4" xfId="0" applyBorder="1" applyAlignment="1">
      <alignment wrapText="1"/>
    </xf>
    <xf numFmtId="0" fontId="0" fillId="4" borderId="3" xfId="0" applyFill="1" applyBorder="1"/>
    <xf numFmtId="0" fontId="1" fillId="2" borderId="0" xfId="0" applyFont="1" applyFill="1" applyAlignment="1">
      <alignment horizontal="center" vertical="center"/>
    </xf>
    <xf numFmtId="0" fontId="1" fillId="2" borderId="0" xfId="0" applyFont="1" applyFill="1" applyAlignment="1">
      <alignment horizontal="center" vertical="center" wrapText="1"/>
    </xf>
    <xf numFmtId="0" fontId="1" fillId="4" borderId="0" xfId="0" applyFont="1" applyFill="1" applyAlignment="1">
      <alignment horizontal="center" vertical="center"/>
    </xf>
    <xf numFmtId="0" fontId="1" fillId="0" borderId="0" xfId="0" applyFont="1" applyAlignment="1">
      <alignment horizontal="center" vertical="center"/>
    </xf>
    <xf numFmtId="14" fontId="1" fillId="0" borderId="0" xfId="0" applyNumberFormat="1" applyFont="1" applyAlignment="1">
      <alignment horizontal="center" vertical="center"/>
    </xf>
    <xf numFmtId="0" fontId="0" fillId="2" borderId="0" xfId="0" applyFill="1" applyAlignment="1">
      <alignment vertical="center"/>
    </xf>
    <xf numFmtId="0" fontId="0" fillId="3" borderId="0" xfId="0" applyFill="1" applyAlignment="1">
      <alignment vertical="center"/>
    </xf>
    <xf numFmtId="0" fontId="0" fillId="0" borderId="0" xfId="0" applyAlignment="1">
      <alignment vertical="center"/>
    </xf>
    <xf numFmtId="0" fontId="0" fillId="4" borderId="0" xfId="0" applyFill="1" applyAlignment="1">
      <alignment vertical="center"/>
    </xf>
    <xf numFmtId="0" fontId="0" fillId="4" borderId="0" xfId="0" applyFill="1" applyAlignment="1">
      <alignment vertical="center" wrapText="1"/>
    </xf>
    <xf numFmtId="0" fontId="0" fillId="5" borderId="0" xfId="0" applyFill="1" applyAlignment="1">
      <alignment vertical="center"/>
    </xf>
    <xf numFmtId="0" fontId="0" fillId="5" borderId="0" xfId="0" applyFill="1" applyAlignment="1">
      <alignment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0" fillId="4" borderId="0" xfId="0" applyFill="1"/>
    <xf numFmtId="0" fontId="0" fillId="2" borderId="1" xfId="0" applyFill="1" applyBorder="1"/>
    <xf numFmtId="0" fontId="0" fillId="3" borderId="1" xfId="0" applyFill="1" applyBorder="1" applyAlignment="1">
      <alignment horizontal="right"/>
    </xf>
    <xf numFmtId="0" fontId="0" fillId="2" borderId="1" xfId="0" applyFill="1" applyBorder="1" applyAlignment="1">
      <alignment horizontal="left"/>
    </xf>
    <xf numFmtId="11" fontId="0" fillId="2" borderId="1" xfId="0" applyNumberFormat="1" applyFill="1" applyBorder="1"/>
    <xf numFmtId="14" fontId="0" fillId="0" borderId="0" xfId="0" applyNumberFormat="1" applyAlignment="1">
      <alignment vertical="center" wrapText="1"/>
    </xf>
    <xf numFmtId="49" fontId="0" fillId="0" borderId="0" xfId="0" applyNumberFormat="1"/>
    <xf numFmtId="49" fontId="2" fillId="4" borderId="5" xfId="0" applyNumberFormat="1" applyFont="1" applyFill="1" applyBorder="1" applyAlignment="1">
      <alignment horizontal="center"/>
    </xf>
    <xf numFmtId="49" fontId="2" fillId="4" borderId="6" xfId="0" applyNumberFormat="1" applyFont="1" applyFill="1" applyBorder="1" applyAlignment="1">
      <alignment horizontal="center"/>
    </xf>
    <xf numFmtId="49" fontId="2" fillId="4" borderId="7" xfId="0" applyNumberFormat="1" applyFont="1" applyFill="1" applyBorder="1" applyAlignment="1">
      <alignment horizontal="center"/>
    </xf>
    <xf numFmtId="0" fontId="3" fillId="0" borderId="0" xfId="0" applyFont="1" applyAlignment="1">
      <alignment horizontal="center" vertical="center" wrapText="1"/>
    </xf>
    <xf numFmtId="0" fontId="0" fillId="0" borderId="1" xfId="0" applyBorder="1" applyProtection="1">
      <protection locked="0"/>
    </xf>
    <xf numFmtId="0" fontId="0" fillId="0" borderId="0" xfId="0" applyAlignment="1" applyProtection="1">
      <alignment vertical="center" wrapText="1"/>
      <protection locked="0"/>
    </xf>
    <xf numFmtId="0" fontId="0" fillId="0" borderId="1" xfId="0" applyBorder="1" applyAlignment="1" applyProtection="1">
      <alignment vertical="center" wrapText="1"/>
      <protection locked="0"/>
    </xf>
    <xf numFmtId="0" fontId="0" fillId="0" borderId="1" xfId="0" applyBorder="1" applyAlignment="1" applyProtection="1">
      <alignment vertical="center"/>
      <protection locked="0"/>
    </xf>
    <xf numFmtId="49" fontId="0" fillId="0" borderId="1" xfId="0" applyNumberFormat="1" applyBorder="1" applyAlignment="1" applyProtection="1">
      <alignment vertical="center"/>
      <protection locked="0"/>
    </xf>
    <xf numFmtId="0" fontId="0" fillId="0" borderId="1" xfId="0" quotePrefix="1" applyBorder="1" applyAlignment="1" applyProtection="1">
      <alignment vertical="center"/>
      <protection locked="0"/>
    </xf>
    <xf numFmtId="14" fontId="0" fillId="0" borderId="1" xfId="0" applyNumberFormat="1" applyBorder="1" applyAlignment="1" applyProtection="1">
      <alignment vertical="center"/>
      <protection locked="0"/>
    </xf>
    <xf numFmtId="49" fontId="0" fillId="0" borderId="0" xfId="0" applyNumberFormat="1" applyAlignment="1">
      <alignment horizontal="center" vertical="center"/>
    </xf>
    <xf numFmtId="49" fontId="0" fillId="4" borderId="0" xfId="0" applyNumberFormat="1" applyFill="1"/>
    <xf numFmtId="49" fontId="0" fillId="4" borderId="0" xfId="0" applyNumberFormat="1" applyFill="1" applyAlignment="1">
      <alignment horizontal="center" vertical="center"/>
    </xf>
    <xf numFmtId="49" fontId="2" fillId="4" borderId="0" xfId="0" applyNumberFormat="1" applyFont="1" applyFill="1" applyAlignment="1">
      <alignment horizontal="center"/>
    </xf>
    <xf numFmtId="49" fontId="4" fillId="4" borderId="0" xfId="0" applyNumberFormat="1" applyFont="1" applyFill="1" applyAlignment="1">
      <alignment horizontal="center" wrapText="1"/>
    </xf>
    <xf numFmtId="49" fontId="0" fillId="0" borderId="1" xfId="0" applyNumberFormat="1" applyBorder="1" applyAlignment="1" applyProtection="1">
      <alignment horizontal="center" vertical="center"/>
      <protection locked="0"/>
    </xf>
    <xf numFmtId="0" fontId="5" fillId="4" borderId="0" xfId="0" applyFont="1" applyFill="1" applyAlignment="1">
      <alignment horizontal="center" vertical="center"/>
    </xf>
    <xf numFmtId="0" fontId="0" fillId="3" borderId="8" xfId="0" applyFill="1" applyBorder="1" applyAlignment="1">
      <alignment horizontal="center"/>
    </xf>
    <xf numFmtId="0" fontId="0" fillId="3" borderId="0" xfId="0" applyFill="1" applyAlignment="1">
      <alignment horizontal="center"/>
    </xf>
  </cellXfs>
  <cellStyles count="1">
    <cellStyle name="Normal" xfId="0" builtinId="0"/>
  </cellStyles>
  <dxfs count="1">
    <dxf>
      <fill>
        <patternFill>
          <bgColor theme="0"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104775</xdr:colOff>
          <xdr:row>3</xdr:row>
          <xdr:rowOff>19050</xdr:rowOff>
        </xdr:from>
        <xdr:to>
          <xdr:col>7</xdr:col>
          <xdr:colOff>514350</xdr:colOff>
          <xdr:row>3</xdr:row>
          <xdr:rowOff>504825</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3</xdr:row>
          <xdr:rowOff>47625</xdr:rowOff>
        </xdr:from>
        <xdr:to>
          <xdr:col>4</xdr:col>
          <xdr:colOff>219075</xdr:colOff>
          <xdr:row>3</xdr:row>
          <xdr:rowOff>371475</xdr:rowOff>
        </xdr:to>
        <xdr:sp macro="" textlink="">
          <xdr:nvSpPr>
            <xdr:cNvPr id="1025" name="CopyButton"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3</xdr:row>
          <xdr:rowOff>38100</xdr:rowOff>
        </xdr:from>
        <xdr:to>
          <xdr:col>5</xdr:col>
          <xdr:colOff>895350</xdr:colOff>
          <xdr:row>3</xdr:row>
          <xdr:rowOff>361950</xdr:rowOff>
        </xdr:to>
        <xdr:sp macro="" textlink="">
          <xdr:nvSpPr>
            <xdr:cNvPr id="1027" name="ClearButton"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1314450</xdr:colOff>
          <xdr:row>3</xdr:row>
          <xdr:rowOff>57150</xdr:rowOff>
        </xdr:from>
        <xdr:to>
          <xdr:col>2</xdr:col>
          <xdr:colOff>1914525</xdr:colOff>
          <xdr:row>3</xdr:row>
          <xdr:rowOff>381000</xdr:rowOff>
        </xdr:to>
        <xdr:sp macro="" textlink="">
          <xdr:nvSpPr>
            <xdr:cNvPr id="1029" name="Sampl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3</xdr:row>
          <xdr:rowOff>57150</xdr:rowOff>
        </xdr:from>
        <xdr:to>
          <xdr:col>8</xdr:col>
          <xdr:colOff>219075</xdr:colOff>
          <xdr:row>3</xdr:row>
          <xdr:rowOff>381000</xdr:rowOff>
        </xdr:to>
        <xdr:sp macro="" textlink="">
          <xdr:nvSpPr>
            <xdr:cNvPr id="1030" name="LaunchButton"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371475</xdr:colOff>
          <xdr:row>6</xdr:row>
          <xdr:rowOff>28575</xdr:rowOff>
        </xdr:from>
        <xdr:to>
          <xdr:col>3</xdr:col>
          <xdr:colOff>333375</xdr:colOff>
          <xdr:row>7</xdr:row>
          <xdr:rowOff>161925</xdr:rowOff>
        </xdr:to>
        <xdr:sp macro="" textlink="">
          <xdr:nvSpPr>
            <xdr:cNvPr id="7169" name="Launch"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16"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1CC4113-2597-4B71-86C3-CFD33F9DBA5F}">
  <we:reference id="wa200001816" version="1.0.0.2" store="en-US" storeType="OMEX"/>
  <we:alternateReferences>
    <we:reference id="wa200001816" version="1.0.0.2" store="WA200001816"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36B68-1F6B-4321-970E-F5D75AD41670}">
  <sheetPr codeName="Sheet1"/>
  <dimension ref="A1:H5"/>
  <sheetViews>
    <sheetView showGridLines="0" showRowColHeaders="0" workbookViewId="0"/>
  </sheetViews>
  <sheetFormatPr defaultRowHeight="15" x14ac:dyDescent="0.25"/>
  <cols>
    <col min="1" max="1" width="71.28515625" customWidth="1"/>
  </cols>
  <sheetData>
    <row r="1" spans="1:8" ht="90" x14ac:dyDescent="0.25">
      <c r="A1" s="10" t="s">
        <v>152</v>
      </c>
    </row>
    <row r="2" spans="1:8" x14ac:dyDescent="0.25">
      <c r="A2" s="14"/>
    </row>
    <row r="3" spans="1:8" ht="30" x14ac:dyDescent="0.25">
      <c r="A3" s="11" t="s">
        <v>153</v>
      </c>
      <c r="E3" s="53" t="s">
        <v>262</v>
      </c>
      <c r="F3" s="53"/>
      <c r="G3" s="53"/>
      <c r="H3" s="53"/>
    </row>
    <row r="4" spans="1:8" ht="45" x14ac:dyDescent="0.25">
      <c r="A4" s="12" t="s">
        <v>154</v>
      </c>
      <c r="E4" s="29"/>
      <c r="F4" s="29"/>
      <c r="G4" s="29"/>
      <c r="H4" s="29"/>
    </row>
    <row r="5" spans="1:8" ht="45.75" thickBot="1" x14ac:dyDescent="0.3">
      <c r="A5" s="13" t="s">
        <v>155</v>
      </c>
    </row>
  </sheetData>
  <sheetProtection sheet="1" objects="1" scenarios="1"/>
  <mergeCells count="1">
    <mergeCell ref="E3:H3"/>
  </mergeCells>
  <pageMargins left="0.7" right="0.7" top="0.75" bottom="0.75" header="0.3" footer="0.3"/>
  <pageSetup orientation="portrait" horizontalDpi="240" verticalDpi="240" r:id="rId1"/>
  <headerFooter>
    <oddFooter xml:space="preserve">&amp;L_x000D_&amp;1#&amp;"Calibri"&amp;10&amp;K000000 Internal </oddFooter>
  </headerFooter>
  <drawing r:id="rId2"/>
  <legacyDrawing r:id="rId3"/>
  <controls>
    <mc:AlternateContent xmlns:mc="http://schemas.openxmlformats.org/markup-compatibility/2006">
      <mc:Choice Requires="x14">
        <control shapeId="8193" r:id="rId4" name="CommandButton1">
          <controlPr defaultSize="0" autoLine="0" autoPict="0" r:id="rId5">
            <anchor moveWithCells="1">
              <from>
                <xdr:col>4</xdr:col>
                <xdr:colOff>104775</xdr:colOff>
                <xdr:row>3</xdr:row>
                <xdr:rowOff>19050</xdr:rowOff>
              </from>
              <to>
                <xdr:col>7</xdr:col>
                <xdr:colOff>514350</xdr:colOff>
                <xdr:row>3</xdr:row>
                <xdr:rowOff>504825</xdr:rowOff>
              </to>
            </anchor>
          </controlPr>
        </control>
      </mc:Choice>
      <mc:Fallback>
        <control shapeId="8193"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552AA-79B8-45F9-874A-502F3FF70DF1}">
  <sheetPr codeName="Sheet2"/>
  <dimension ref="A1:R109"/>
  <sheetViews>
    <sheetView showGridLines="0" tabSelected="1" workbookViewId="0">
      <pane ySplit="1" topLeftCell="A22" activePane="bottomLeft" state="frozen"/>
      <selection pane="bottomLeft" activeCell="F23" sqref="F23"/>
    </sheetView>
  </sheetViews>
  <sheetFormatPr defaultColWidth="8.85546875" defaultRowHeight="15" x14ac:dyDescent="0.25"/>
  <cols>
    <col min="1" max="1" width="20" style="20" customWidth="1"/>
    <col min="2" max="2" width="16" style="8" customWidth="1"/>
    <col min="3" max="3" width="27.42578125" style="8" customWidth="1"/>
    <col min="4" max="4" width="61.28515625" style="21" bestFit="1" customWidth="1"/>
    <col min="5" max="5" width="18.42578125" style="20" customWidth="1"/>
    <col min="6" max="6" width="15.5703125" style="22" bestFit="1" customWidth="1"/>
    <col min="7" max="14" width="9.85546875" style="22" bestFit="1" customWidth="1"/>
    <col min="15" max="15" width="13.28515625" style="22" bestFit="1" customWidth="1"/>
    <col min="16" max="16" width="2.7109375" style="22" customWidth="1"/>
    <col min="17" max="17" width="8.85546875" style="22"/>
    <col min="18" max="18" width="16.5703125" style="22" bestFit="1" customWidth="1"/>
    <col min="19" max="16384" width="8.85546875" style="22"/>
  </cols>
  <sheetData>
    <row r="1" spans="1:18" s="18" customFormat="1" ht="24.75" customHeight="1" x14ac:dyDescent="0.25">
      <c r="A1" s="15" t="s">
        <v>2</v>
      </c>
      <c r="B1" s="16" t="s">
        <v>13</v>
      </c>
      <c r="C1" s="16" t="s">
        <v>179</v>
      </c>
      <c r="D1" s="15" t="s">
        <v>157</v>
      </c>
      <c r="E1" s="15" t="s">
        <v>11</v>
      </c>
      <c r="F1" s="15" t="s">
        <v>1</v>
      </c>
      <c r="G1" s="15" t="s">
        <v>0</v>
      </c>
      <c r="H1" s="15" t="s">
        <v>3</v>
      </c>
      <c r="I1" s="15" t="s">
        <v>4</v>
      </c>
      <c r="J1" s="15" t="s">
        <v>5</v>
      </c>
      <c r="K1" s="15" t="s">
        <v>6</v>
      </c>
      <c r="L1" s="15" t="s">
        <v>7</v>
      </c>
      <c r="M1" s="15" t="s">
        <v>8</v>
      </c>
      <c r="N1" s="15" t="s">
        <v>9</v>
      </c>
      <c r="O1" s="15" t="s">
        <v>10</v>
      </c>
      <c r="P1" s="17"/>
      <c r="R1" s="19">
        <f ca="1">TODAY()</f>
        <v>46038</v>
      </c>
    </row>
    <row r="2" spans="1:18" ht="60" x14ac:dyDescent="0.25">
      <c r="A2" s="1" t="s">
        <v>24</v>
      </c>
      <c r="B2" s="2" t="s">
        <v>14</v>
      </c>
      <c r="C2" s="42"/>
      <c r="D2" s="5" t="str">
        <f>CONCATENATE("NOT(",IF(NOT(ISBLANK(F2)),F2,""),")")</f>
        <v>NOT(TRUE)</v>
      </c>
      <c r="E2" s="1" t="b">
        <f>NOT( IF(NOT(ISBLANK(F2)),F2,"") )</f>
        <v>0</v>
      </c>
      <c r="F2" s="43" t="b">
        <v>1</v>
      </c>
      <c r="G2" s="1"/>
      <c r="H2" s="1"/>
      <c r="I2" s="1"/>
      <c r="J2" s="1"/>
      <c r="K2" s="1"/>
      <c r="L2" s="1"/>
      <c r="M2" s="1"/>
      <c r="N2" s="1"/>
      <c r="O2" s="1"/>
      <c r="P2" s="23"/>
    </row>
    <row r="3" spans="1:18" ht="45" x14ac:dyDescent="0.25">
      <c r="A3" s="1" t="s">
        <v>25</v>
      </c>
      <c r="B3" s="2" t="s">
        <v>15</v>
      </c>
      <c r="C3" s="42"/>
      <c r="D3" s="5" t="str">
        <f>CONCATENATE("AND(",IF(NOT(ISBLANK(F3)),F3,""),IF(NOT(ISBLANK(G3)),CONCATENATE(", ",G3),""),IF(NOT(ISBLANK(H3)),CONCATENATE(", ",H3),""),IF(NOT(ISBLANK(I3)),CONCATENATE(", ",I3),""),IF(NOT(ISBLANK(J3)),CONCATENATE(", ",J3),""),IF(NOT(ISBLANK(K3)),CONCATENATE(", ",K3),""),IF(NOT(ISBLANK(L3)),CONCATENATE(", ",L3),""),IF(NOT(ISBLANK(M3)),CONCATENATE(", ",M3),""),IF(NOT(ISBLANK(N3)),CONCATENATE(", ",N3),""),IF(NOT(ISBLANK(O3)),CONCATENATE(", ",O3),""),")")</f>
        <v>AND(TRUE, TRUE, TRUE, TRUE, TRUE, TRUE, TRUE, TRUE, TRUE, TRUE)</v>
      </c>
      <c r="E3" s="1" t="b">
        <f>AND(F3:O3)</f>
        <v>1</v>
      </c>
      <c r="F3" s="43" t="b">
        <v>1</v>
      </c>
      <c r="G3" s="43" t="b">
        <v>1</v>
      </c>
      <c r="H3" s="43" t="b">
        <v>1</v>
      </c>
      <c r="I3" s="43" t="b">
        <v>1</v>
      </c>
      <c r="J3" s="43" t="b">
        <v>1</v>
      </c>
      <c r="K3" s="43" t="b">
        <v>1</v>
      </c>
      <c r="L3" s="43" t="b">
        <v>1</v>
      </c>
      <c r="M3" s="43" t="b">
        <v>1</v>
      </c>
      <c r="N3" s="43" t="b">
        <v>1</v>
      </c>
      <c r="O3" s="43" t="b">
        <v>1</v>
      </c>
      <c r="P3" s="23"/>
    </row>
    <row r="4" spans="1:18" ht="45" x14ac:dyDescent="0.25">
      <c r="A4" s="1" t="s">
        <v>26</v>
      </c>
      <c r="B4" s="2" t="s">
        <v>16</v>
      </c>
      <c r="C4" s="42"/>
      <c r="D4" s="5" t="str">
        <f>CONCATENATE("OR(",IF(NOT(ISBLANK(F4)),F4,""),IF(NOT(ISBLANK(G4)),CONCATENATE(", ",G4),""),IF(NOT(ISBLANK(H4)),CONCATENATE(", ",H4),""),IF(NOT(ISBLANK(I4)),CONCATENATE(", ",I4),""),IF(NOT(ISBLANK(J4)),CONCATENATE(", ",J4),""),IF(NOT(ISBLANK(K4)),CONCATENATE(", ",K4),""),IF(NOT(ISBLANK(L4)),CONCATENATE(", ",L4),""),IF(NOT(ISBLANK(M4)),CONCATENATE(", ",M4),""),IF(NOT(ISBLANK(N4)),CONCATENATE(", ",N4),""),IF(NOT(ISBLANK(O4)),CONCATENATE(", ",O4),""),")")</f>
        <v>OR(TRUE, FALSE, FALSE, FALSE, FALSE, FALSE, FALSE, FALSE, FALSE, FALSE)</v>
      </c>
      <c r="E4" s="1" t="b">
        <f>OR(F4:O4)</f>
        <v>1</v>
      </c>
      <c r="F4" s="43" t="b">
        <v>1</v>
      </c>
      <c r="G4" s="43" t="b">
        <v>0</v>
      </c>
      <c r="H4" s="43" t="b">
        <v>0</v>
      </c>
      <c r="I4" s="43" t="b">
        <v>0</v>
      </c>
      <c r="J4" s="43" t="b">
        <v>0</v>
      </c>
      <c r="K4" s="43" t="b">
        <v>0</v>
      </c>
      <c r="L4" s="43" t="b">
        <v>0</v>
      </c>
      <c r="M4" s="43" t="b">
        <v>0</v>
      </c>
      <c r="N4" s="43" t="b">
        <v>0</v>
      </c>
      <c r="O4" s="43" t="b">
        <v>0</v>
      </c>
      <c r="P4" s="23"/>
    </row>
    <row r="5" spans="1:18" ht="45" x14ac:dyDescent="0.25">
      <c r="A5" s="1" t="s">
        <v>22</v>
      </c>
      <c r="B5" s="2" t="s">
        <v>17</v>
      </c>
      <c r="C5" s="42"/>
      <c r="D5" s="5" t="str">
        <f>CONCATENATE("ADDDAYS(",IF(NOT(ISBLANK(F5)),F5,""),IF(NOT(ISBLANK(G5)),CONCATENATE(", ",G5),""),")")</f>
        <v>ADDDAYS(today(), 1)</v>
      </c>
      <c r="E5" s="3">
        <f ca="1">IF(F5="TODAY()",TODAY()+G5,F5+G5)</f>
        <v>46039</v>
      </c>
      <c r="F5" s="46" t="s">
        <v>12</v>
      </c>
      <c r="G5" s="43">
        <v>1</v>
      </c>
      <c r="H5" s="1"/>
      <c r="I5" s="1"/>
      <c r="J5" s="1"/>
      <c r="K5" s="1"/>
      <c r="L5" s="1"/>
      <c r="M5" s="1"/>
      <c r="N5" s="1"/>
      <c r="O5" s="1"/>
      <c r="P5" s="23"/>
    </row>
    <row r="6" spans="1:18" ht="60" x14ac:dyDescent="0.25">
      <c r="A6" s="1" t="s">
        <v>23</v>
      </c>
      <c r="B6" s="2" t="s">
        <v>20</v>
      </c>
      <c r="C6" s="42"/>
      <c r="D6" s="5" t="str">
        <f>CONCATENATE("ADDWEEKS(",IF(NOT(ISBLANK(F6)),F6,""),IF(NOT(ISBLANK(G6)),CONCATENATE(", ",G6),""),")")</f>
        <v>ADDWEEKS(today(), 1)</v>
      </c>
      <c r="E6" s="3">
        <f ca="1">IF(F6="TODAY()",TODAY()+(G6*7),F6+(G6*7))</f>
        <v>46045</v>
      </c>
      <c r="F6" s="46" t="s">
        <v>12</v>
      </c>
      <c r="G6" s="43">
        <v>1</v>
      </c>
      <c r="H6" s="1"/>
      <c r="I6" s="1"/>
      <c r="J6" s="1"/>
      <c r="K6" s="1"/>
      <c r="L6" s="1"/>
      <c r="M6" s="1"/>
      <c r="N6" s="1"/>
      <c r="O6" s="1"/>
      <c r="P6" s="23"/>
    </row>
    <row r="7" spans="1:18" ht="60" x14ac:dyDescent="0.25">
      <c r="A7" s="1" t="s">
        <v>27</v>
      </c>
      <c r="B7" s="2" t="s">
        <v>18</v>
      </c>
      <c r="C7" s="42"/>
      <c r="D7" s="5" t="str">
        <f>CONCATENATE("ADDMONTHS(",IF(NOT(ISBLANK(F7)),F7,""),IF(NOT(ISBLANK(G7)),CONCATENATE(", ",G7),""),")")</f>
        <v>ADDMONTHS(today(), 1)</v>
      </c>
      <c r="E7" s="3">
        <f ca="1">EDATE(IF(F7="TODAY()",TODAY(),F7),G7)</f>
        <v>46069</v>
      </c>
      <c r="F7" s="46" t="s">
        <v>12</v>
      </c>
      <c r="G7" s="43">
        <v>1</v>
      </c>
      <c r="H7" s="1"/>
      <c r="I7" s="1"/>
      <c r="J7" s="1"/>
      <c r="K7" s="1"/>
      <c r="L7" s="1"/>
      <c r="M7" s="1"/>
      <c r="N7" s="1"/>
      <c r="O7" s="1"/>
      <c r="P7" s="23"/>
    </row>
    <row r="8" spans="1:18" ht="45" x14ac:dyDescent="0.25">
      <c r="A8" s="1" t="s">
        <v>28</v>
      </c>
      <c r="B8" s="2" t="s">
        <v>19</v>
      </c>
      <c r="C8" s="42"/>
      <c r="D8" s="5" t="str">
        <f>CONCATENATE("ADDYEARS(",IF(NOT(ISBLANK(F8)),F8,""),IF(NOT(ISBLANK(G8)),CONCATENATE(", ",G8),""),")")</f>
        <v>ADDYEARS(today(), 1)</v>
      </c>
      <c r="E8" s="3">
        <f ca="1">DATE(IF(F8="TODAY()",YEAR(TODAY())+G8,YEAR(F8)+G8),IF(F8="TODAY()",MONTH(TODAY()),MONTH(F8)),IF(F8="TODAY()",DAY(TODAY()),DAY(F8)))</f>
        <v>46403</v>
      </c>
      <c r="F8" s="46" t="s">
        <v>12</v>
      </c>
      <c r="G8" s="43">
        <v>1</v>
      </c>
      <c r="H8" s="1"/>
      <c r="I8" s="1"/>
      <c r="J8" s="1"/>
      <c r="K8" s="1"/>
      <c r="L8" s="1"/>
      <c r="M8" s="1"/>
      <c r="N8" s="1"/>
      <c r="O8" s="1"/>
      <c r="P8" s="23"/>
    </row>
    <row r="9" spans="1:18" ht="90" x14ac:dyDescent="0.25">
      <c r="A9" s="1" t="s">
        <v>29</v>
      </c>
      <c r="B9" s="2" t="s">
        <v>21</v>
      </c>
      <c r="C9" s="42"/>
      <c r="D9" s="5" t="str">
        <f>CONCATENATE("MONTH(",,IF(NOT(ISBLANK(F9)),F9,""),")")</f>
        <v>MONTH(today())</v>
      </c>
      <c r="E9" s="1">
        <f ca="1">MONTH(IF(F9="TODAY()",TODAY(),F9))</f>
        <v>1</v>
      </c>
      <c r="F9" s="46" t="s">
        <v>12</v>
      </c>
      <c r="G9" s="1"/>
      <c r="H9" s="1"/>
      <c r="I9" s="1"/>
      <c r="J9" s="1"/>
      <c r="K9" s="1"/>
      <c r="L9" s="1"/>
      <c r="M9" s="1"/>
      <c r="N9" s="1"/>
      <c r="O9" s="1"/>
      <c r="P9" s="23"/>
    </row>
    <row r="10" spans="1:18" ht="90" x14ac:dyDescent="0.25">
      <c r="A10" s="1" t="s">
        <v>30</v>
      </c>
      <c r="B10" s="2" t="s">
        <v>263</v>
      </c>
      <c r="C10" s="42"/>
      <c r="D10" s="5" t="str">
        <f>CONCATENATE("DAY(",,IF(NOT(ISBLANK(F10)),F10,""),")")</f>
        <v>DAY(today())</v>
      </c>
      <c r="E10" s="1">
        <f ca="1">DAY(IF(F10="TODAY()",TODAY(),F10))</f>
        <v>16</v>
      </c>
      <c r="F10" s="46" t="s">
        <v>12</v>
      </c>
      <c r="G10" s="1"/>
      <c r="H10" s="1"/>
      <c r="I10" s="1"/>
      <c r="J10" s="1"/>
      <c r="K10" s="1"/>
      <c r="L10" s="1"/>
      <c r="M10" s="1"/>
      <c r="N10" s="1"/>
      <c r="O10" s="1"/>
      <c r="P10" s="23"/>
    </row>
    <row r="11" spans="1:18" ht="90" x14ac:dyDescent="0.25">
      <c r="A11" s="1" t="s">
        <v>31</v>
      </c>
      <c r="B11" s="2" t="s">
        <v>264</v>
      </c>
      <c r="C11" s="42"/>
      <c r="D11" s="5" t="str">
        <f>CONCATENATE("YEAR(",,IF(NOT(ISBLANK(F11)),F11,""),")")</f>
        <v>YEAR(today())</v>
      </c>
      <c r="E11" s="1">
        <f ca="1">YEAR(IF(F11="TODAY()",TODAY(),F11))</f>
        <v>2026</v>
      </c>
      <c r="F11" s="46" t="s">
        <v>12</v>
      </c>
      <c r="G11" s="1"/>
      <c r="H11" s="1"/>
      <c r="I11" s="1"/>
      <c r="J11" s="1"/>
      <c r="K11" s="1"/>
      <c r="L11" s="1"/>
      <c r="M11" s="1"/>
      <c r="N11" s="1"/>
      <c r="O11" s="1"/>
      <c r="P11" s="23"/>
    </row>
    <row r="12" spans="1:18" ht="90" x14ac:dyDescent="0.25">
      <c r="A12" s="1" t="s">
        <v>32</v>
      </c>
      <c r="B12" s="2" t="s">
        <v>34</v>
      </c>
      <c r="C12" s="42"/>
      <c r="D12" s="6" t="str">
        <f ca="1">CONCATENATE("Date('",TEXT(F12,"MM/DD/YYYY"),"')")</f>
        <v>Date('01/16/2026')</v>
      </c>
      <c r="E12" s="3">
        <f ca="1">F12</f>
        <v>46038</v>
      </c>
      <c r="F12" s="46">
        <f ca="1">R1</f>
        <v>46038</v>
      </c>
      <c r="G12" s="1"/>
      <c r="H12" s="1"/>
      <c r="I12" s="1"/>
      <c r="J12" s="1"/>
      <c r="K12" s="1"/>
      <c r="L12" s="1"/>
      <c r="M12" s="1"/>
      <c r="N12" s="1"/>
      <c r="O12" s="1"/>
      <c r="P12" s="23"/>
    </row>
    <row r="13" spans="1:18" ht="195" x14ac:dyDescent="0.25">
      <c r="A13" s="1" t="s">
        <v>33</v>
      </c>
      <c r="B13" s="2" t="s">
        <v>36</v>
      </c>
      <c r="C13" s="42"/>
      <c r="D13" s="5" t="str">
        <f>CONCATENATE("TEXT(",F13,")")</f>
        <v>TEXT(1)</v>
      </c>
      <c r="E13" s="4">
        <f>F13</f>
        <v>1</v>
      </c>
      <c r="F13" s="43">
        <v>1</v>
      </c>
      <c r="G13" s="1"/>
      <c r="H13" s="1"/>
      <c r="I13" s="1"/>
      <c r="J13" s="1"/>
      <c r="K13" s="1"/>
      <c r="L13" s="1"/>
      <c r="M13" s="1"/>
      <c r="N13" s="1"/>
      <c r="O13" s="1"/>
      <c r="P13" s="23"/>
    </row>
    <row r="14" spans="1:18" ht="240" x14ac:dyDescent="0.25">
      <c r="A14" s="1" t="s">
        <v>35</v>
      </c>
      <c r="B14" s="2" t="s">
        <v>37</v>
      </c>
      <c r="C14" s="42"/>
      <c r="D14" s="5" t="str">
        <f>CONCATENATE("NUM(",F14,")")</f>
        <v>NUM(1)</v>
      </c>
      <c r="E14" s="4">
        <f>F14</f>
        <v>1</v>
      </c>
      <c r="F14" s="45">
        <v>1</v>
      </c>
      <c r="G14" s="1"/>
      <c r="H14" s="1"/>
      <c r="I14" s="1"/>
      <c r="J14" s="1"/>
      <c r="K14" s="1"/>
      <c r="L14" s="1"/>
      <c r="M14" s="1"/>
      <c r="N14" s="1"/>
      <c r="O14" s="1"/>
      <c r="P14" s="23"/>
    </row>
    <row r="15" spans="1:18" ht="195" x14ac:dyDescent="0.25">
      <c r="A15" s="1" t="s">
        <v>38</v>
      </c>
      <c r="B15" s="2" t="s">
        <v>39</v>
      </c>
      <c r="C15" s="42"/>
      <c r="D15" s="5" t="str">
        <f>CONCATENATE("IF(",IF(ISBLANK(F15),"",F15),IF(NOT(ISBLANK(G15)),CONCATENATE(", ",G15),""),IF(ISBLANK(H15),"",CONCATENATE(", ",H15)),")")</f>
        <v>IF(TRUE, Happy, Sad)</v>
      </c>
      <c r="E15" s="1" t="str">
        <f>IF(F15,G15,H15)</f>
        <v>Happy</v>
      </c>
      <c r="F15" s="43" t="b">
        <v>1</v>
      </c>
      <c r="G15" s="43" t="s">
        <v>40</v>
      </c>
      <c r="H15" s="43" t="s">
        <v>41</v>
      </c>
      <c r="I15" s="1"/>
      <c r="J15" s="1"/>
      <c r="K15" s="1"/>
      <c r="L15" s="1"/>
      <c r="M15" s="1"/>
      <c r="N15" s="1"/>
      <c r="O15" s="1"/>
      <c r="P15" s="23"/>
    </row>
    <row r="16" spans="1:18" ht="60" x14ac:dyDescent="0.25">
      <c r="A16" s="1" t="s">
        <v>42</v>
      </c>
      <c r="B16" s="2" t="s">
        <v>43</v>
      </c>
      <c r="C16" s="42"/>
      <c r="D16" s="5" t="str">
        <f>CONCATENATE("XIF(",F16,")")</f>
        <v>XIF(TRUE)</v>
      </c>
      <c r="E16" s="1" t="str">
        <f>IF(F16,"X","")</f>
        <v>X</v>
      </c>
      <c r="F16" s="43" t="b">
        <v>1</v>
      </c>
      <c r="G16" s="1"/>
      <c r="H16" s="1"/>
      <c r="I16" s="1"/>
      <c r="J16" s="1"/>
      <c r="K16" s="1"/>
      <c r="L16" s="1"/>
      <c r="M16" s="1"/>
      <c r="N16" s="1"/>
      <c r="O16" s="1"/>
      <c r="P16" s="23"/>
    </row>
    <row r="17" spans="1:16" ht="60" x14ac:dyDescent="0.25">
      <c r="A17" s="1" t="s">
        <v>44</v>
      </c>
      <c r="B17" s="2" t="s">
        <v>45</v>
      </c>
      <c r="C17" s="42"/>
      <c r="D17" s="5" t="str">
        <f>CONCATENATE("XXIF(",F17,")")</f>
        <v>XXIF(TRUE)</v>
      </c>
      <c r="E17" s="1" t="str">
        <f>IF(F17,"XX","")</f>
        <v>XX</v>
      </c>
      <c r="F17" s="43" t="b">
        <v>1</v>
      </c>
      <c r="G17" s="1"/>
      <c r="H17" s="1"/>
      <c r="I17" s="1"/>
      <c r="J17" s="1"/>
      <c r="K17" s="1"/>
      <c r="L17" s="1"/>
      <c r="M17" s="1"/>
      <c r="N17" s="1"/>
      <c r="O17" s="1"/>
      <c r="P17" s="23"/>
    </row>
    <row r="18" spans="1:16" ht="150" x14ac:dyDescent="0.25">
      <c r="A18" s="1" t="s">
        <v>46</v>
      </c>
      <c r="B18" s="2" t="s">
        <v>48</v>
      </c>
      <c r="C18" s="42"/>
      <c r="D18" s="5" t="str">
        <f>CONCATENATE("CONTAINS(",IF(ISBLANK(F18),"",F18),IF(NOT(ISBLANK(G18)),CONCATENATE(", ",G18),""),")")</f>
        <v>CONTAINS(this is a test string, hi)</v>
      </c>
      <c r="E18" s="1" t="b">
        <f>IF(ISNUMBER(SEARCH( "*"&amp;G18&amp;"*",F18)),TRUE,FALSE)</f>
        <v>1</v>
      </c>
      <c r="F18" s="43" t="s">
        <v>47</v>
      </c>
      <c r="G18" s="43" t="s">
        <v>49</v>
      </c>
      <c r="H18" s="1"/>
      <c r="I18" s="1"/>
      <c r="J18" s="1"/>
      <c r="K18" s="1"/>
      <c r="L18" s="1"/>
      <c r="M18" s="1"/>
      <c r="N18" s="1"/>
      <c r="O18" s="1"/>
      <c r="P18" s="23"/>
    </row>
    <row r="19" spans="1:16" ht="120" x14ac:dyDescent="0.25">
      <c r="A19" s="1" t="s">
        <v>50</v>
      </c>
      <c r="B19" s="2" t="s">
        <v>51</v>
      </c>
      <c r="C19" s="42"/>
      <c r="D19" s="5" t="str">
        <f>CONCATENATE("STRIP(",IF(ISBLANK(F19),"",F19),IF(NOT(ISBLANK(G19)),CONCATENATE(", ",G19),""),")")</f>
        <v>STRIP(Hello World!, orl)</v>
      </c>
      <c r="E19" s="1" t="str">
        <f>SUBSTITUTE(F19,G19,"")</f>
        <v>Hello Wd!</v>
      </c>
      <c r="F19" s="43" t="s">
        <v>52</v>
      </c>
      <c r="G19" s="43" t="s">
        <v>53</v>
      </c>
      <c r="H19" s="1"/>
      <c r="I19" s="1"/>
      <c r="J19" s="1"/>
      <c r="K19" s="1"/>
      <c r="L19" s="1"/>
      <c r="M19" s="1"/>
      <c r="N19" s="1"/>
      <c r="O19" s="1"/>
      <c r="P19" s="23"/>
    </row>
    <row r="20" spans="1:16" ht="180" x14ac:dyDescent="0.25">
      <c r="A20" s="1" t="s">
        <v>54</v>
      </c>
      <c r="B20" s="2" t="s">
        <v>55</v>
      </c>
      <c r="C20" s="42"/>
      <c r="D20" s="5" t="str">
        <f>CONCATENATE("REPLACE(",IF(ISBLANK(F20),"",F20),IF(NOT(ISBLANK(G20)),CONCATENATE(", ",G20),""),IF(ISBLANK(H20),"",CONCATENATE(", ",H20)),")")</f>
        <v>REPLACE(Hello World!, ll, rr)</v>
      </c>
      <c r="E20" s="1" t="str">
        <f>SUBSTITUTE(F20,G20,H20)</f>
        <v>Herro World!</v>
      </c>
      <c r="F20" s="43" t="s">
        <v>52</v>
      </c>
      <c r="G20" s="43" t="s">
        <v>56</v>
      </c>
      <c r="H20" s="43" t="s">
        <v>57</v>
      </c>
      <c r="I20" s="1"/>
      <c r="J20" s="1"/>
      <c r="K20" s="1"/>
      <c r="L20" s="1"/>
      <c r="M20" s="1"/>
      <c r="N20" s="1"/>
      <c r="O20" s="1"/>
      <c r="P20" s="23"/>
    </row>
    <row r="21" spans="1:16" ht="105" x14ac:dyDescent="0.25">
      <c r="A21" s="1" t="s">
        <v>58</v>
      </c>
      <c r="B21" s="2" t="s">
        <v>59</v>
      </c>
      <c r="C21" s="42"/>
      <c r="D21" s="5" t="str">
        <f>CONCATENATE("SEPLIST(",IF(NOT(ISBLANK(F21)),F21,""),IF(NOT(ISBLANK(G21)),CONCATENATE(", ",G21),""),IF(NOT(ISBLANK(H21)),CONCATENATE(", ",H21),""),IF(NOT(ISBLANK(I21)),CONCATENATE(", ",I21),""),IF(NOT(ISBLANK(J21)),CONCATENATE(", ",J21),""),IF(NOT(ISBLANK(K21)),CONCATENATE(", ",K21),""),IF(NOT(ISBLANK(L21)),CONCATENATE(", ",L21),""),IF(NOT(ISBLANK(M21)),CONCATENATE(", ",M21),""),IF(NOT(ISBLANK(N21)),CONCATENATE(", ",N21),""),IF(NOT(ISBLANK(O21)),CONCATENATE(", ",O21),""),")")</f>
        <v>SEPLIST(-, 1, 2, 3, 4, 5, 6, 7, 8, 9)</v>
      </c>
      <c r="E21" s="1" t="str">
        <f>CONCATENATE(G21,IF(ISBLANK(H21),"",F21&amp;H21),IF(ISBLANK(I21),"",F21&amp;I21),IF(ISBLANK(J21),"",F21&amp;J21),IF(ISBLANK(K21),"",F21&amp;K21),IF(ISBLANK(L21),"",F21&amp;L21),IF(ISBLANK(M21),"",F21&amp;M21),IF(ISBLANK(N21),"",F21&amp;N21),IF(ISBLANK(O21),"",F21&amp;O21))</f>
        <v>1-2-3-4-5-6-7-8-9</v>
      </c>
      <c r="F21" s="45" t="s">
        <v>60</v>
      </c>
      <c r="G21" s="43">
        <v>1</v>
      </c>
      <c r="H21" s="43">
        <v>2</v>
      </c>
      <c r="I21" s="43">
        <v>3</v>
      </c>
      <c r="J21" s="43">
        <v>4</v>
      </c>
      <c r="K21" s="43">
        <v>5</v>
      </c>
      <c r="L21" s="43">
        <v>6</v>
      </c>
      <c r="M21" s="43">
        <v>7</v>
      </c>
      <c r="N21" s="43">
        <v>8</v>
      </c>
      <c r="O21" s="43">
        <v>9</v>
      </c>
      <c r="P21" s="23"/>
    </row>
    <row r="22" spans="1:16" ht="375" x14ac:dyDescent="0.25">
      <c r="A22" s="1" t="s">
        <v>61</v>
      </c>
      <c r="B22" s="2" t="s">
        <v>148</v>
      </c>
      <c r="C22" s="42"/>
      <c r="D22" s="5" t="str">
        <f>CONCATENATE("CASE(",IF(NOT(ISBLANK(F22)),F22,""),IF(NOT(ISBLANK(G22)),CONCATENATE(", ",G22),""),IF(NOT(ISBLANK(H22)),CONCATENATE(", ",H22),""),IF(NOT(ISBLANK(I22)),CONCATENATE(", ",I22),""),IF(NOT(ISBLANK(J22)),CONCATENATE(", ",J22),""),IF(NOT(ISBLANK(K22)),CONCATENATE(", ",K22),""),IF(NOT(ISBLANK(L22)),CONCATENATE(", ",L22),""),IF(NOT(ISBLANK(M22)),CONCATENATE(", ",M22),""),IF(NOT(ISBLANK(N22)),CONCATENATE(", ",N22),""),IF(NOT(ISBLANK(O22)),CONCATENATE(", ",O22),""),")")</f>
        <v>CASE(1, 1, one, 3, three, 5, five, 7, seven, something else)</v>
      </c>
      <c r="E22" s="1" t="str">
        <f>IF(F22=G22,H22,IF(F22=I22,J22,IF(F22=K22,L22,IF(F22=M22,N22,O22))))</f>
        <v>one</v>
      </c>
      <c r="F22" s="43">
        <v>1</v>
      </c>
      <c r="G22" s="43">
        <v>1</v>
      </c>
      <c r="H22" s="43" t="s">
        <v>62</v>
      </c>
      <c r="I22" s="43">
        <v>3</v>
      </c>
      <c r="J22" s="43" t="s">
        <v>63</v>
      </c>
      <c r="K22" s="43">
        <v>5</v>
      </c>
      <c r="L22" s="43" t="s">
        <v>64</v>
      </c>
      <c r="M22" s="43">
        <v>7</v>
      </c>
      <c r="N22" s="43" t="s">
        <v>65</v>
      </c>
      <c r="O22" s="43" t="s">
        <v>66</v>
      </c>
      <c r="P22" s="23"/>
    </row>
    <row r="23" spans="1:16" ht="165" x14ac:dyDescent="0.25">
      <c r="A23" s="1" t="s">
        <v>68</v>
      </c>
      <c r="B23" s="2" t="s">
        <v>67</v>
      </c>
      <c r="C23" s="42"/>
      <c r="D23" s="5" t="str">
        <f>CONCATENATE("CASE(",IF(NOT(ISBLANK(F23)),F23,""),IF(NOT(ISBLANK(G23)),CONCATENATE(", ",G23),""),IF(NOT(ISBLANK(H23)),CONCATENATE(", ",H23),""),IF(NOT(ISBLANK(I23)),CONCATENATE(", ",I23),""),IF(NOT(ISBLANK(J23)),CONCATENATE(", ",J23),""),IF(NOT(ISBLANK(K23)),CONCATENATE(", ",K23),""),IF(NOT(ISBLANK(L23)),CONCATENATE(", ",L23),""),IF(NOT(ISBLANK(M23)),CONCATENATE(", ",M23),""),IF(NOT(ISBLANK(N23)),CONCATENATE(", ",N23),""),IF(NOT(ISBLANK(O23)),CONCATENATE(", ",O23),""),")")</f>
        <v>CASE(13, 10, 1-10, 20, 11-20, 30, 21-30, 40, 31-40, other)</v>
      </c>
      <c r="E23" s="1" t="str">
        <f>IF(F23&lt;=G23,H23,IF(F23&lt;=I23,J23,IF(F23&lt;=K23,L23,IF(F23&lt;=M23,N23,O23))))</f>
        <v>11-20</v>
      </c>
      <c r="F23" s="44" t="s">
        <v>270</v>
      </c>
      <c r="G23" s="44">
        <v>10</v>
      </c>
      <c r="H23" s="44" t="s">
        <v>69</v>
      </c>
      <c r="I23" s="44" t="s">
        <v>70</v>
      </c>
      <c r="J23" s="44" t="s">
        <v>71</v>
      </c>
      <c r="K23" s="44" t="s">
        <v>72</v>
      </c>
      <c r="L23" s="44" t="s">
        <v>73</v>
      </c>
      <c r="M23" s="44" t="s">
        <v>74</v>
      </c>
      <c r="N23" s="44" t="s">
        <v>75</v>
      </c>
      <c r="O23" s="44" t="s">
        <v>76</v>
      </c>
      <c r="P23" s="23"/>
    </row>
    <row r="24" spans="1:16" ht="270" x14ac:dyDescent="0.25">
      <c r="A24" s="1" t="s">
        <v>77</v>
      </c>
      <c r="B24" s="2" t="s">
        <v>78</v>
      </c>
      <c r="C24" s="42"/>
      <c r="D24" s="5" t="str">
        <f>CONCATENATE("MATCHRANGE(",IF(NOT(ISBLANK(F24)),F24,""),IF(NOT(ISBLANK(G24)),CONCATENATE(", ",G24),""),IF(NOT(ISBLANK(H24)),CONCATENATE(", ",H24),""),IF(NOT(ISBLANK(I24)),CONCATENATE(", ",I24),""),IF(NOT(ISBLANK(J24)),CONCATENATE(", ",J24),""),IF(NOT(ISBLANK(K24)),CONCATENATE(", ",K24),""),IF(NOT(ISBLANK(L24)),CONCATENATE(", ",L24),""),IF(NOT(ISBLANK(M24)),CONCATENATE(", ",M24),""),IF(NOT(ISBLANK(N24)),CONCATENATE(", ",N24),""),IF(NOT(ISBLANK(O24)),CONCATENATE(", ",O24),""),")")</f>
        <v>MATCHRANGE(0, 0, 10, 5, 11, 20, 15, -1)</v>
      </c>
      <c r="E24" s="1">
        <f>IF(AND(F24&gt;=G24,F24&lt;=H24),I24,IF(AND(F24&gt;=J24,F24&lt;=K24),L24,M24))</f>
        <v>5</v>
      </c>
      <c r="F24" s="43">
        <v>0</v>
      </c>
      <c r="G24" s="43">
        <v>0</v>
      </c>
      <c r="H24" s="43">
        <v>10</v>
      </c>
      <c r="I24" s="43">
        <v>5</v>
      </c>
      <c r="J24" s="43">
        <v>11</v>
      </c>
      <c r="K24" s="43">
        <v>20</v>
      </c>
      <c r="L24" s="43">
        <v>15</v>
      </c>
      <c r="M24" s="43">
        <v>-1</v>
      </c>
      <c r="N24" s="1"/>
      <c r="O24" s="1"/>
      <c r="P24" s="23"/>
    </row>
    <row r="25" spans="1:16" ht="75" x14ac:dyDescent="0.25">
      <c r="A25" s="1" t="s">
        <v>80</v>
      </c>
      <c r="B25" s="2" t="s">
        <v>82</v>
      </c>
      <c r="C25" s="42"/>
      <c r="D25" s="5" t="str">
        <f>CONCATENATE("BLANK(",F25,")")</f>
        <v>BLANK(a)</v>
      </c>
      <c r="E25" s="1" t="b">
        <f>ISBLANK(F25)</f>
        <v>0</v>
      </c>
      <c r="F25" s="43" t="s">
        <v>81</v>
      </c>
      <c r="G25" s="1"/>
      <c r="H25" s="1"/>
      <c r="I25" s="1"/>
      <c r="J25" s="1"/>
      <c r="K25" s="1"/>
      <c r="L25" s="1"/>
      <c r="M25" s="1"/>
      <c r="N25" s="1"/>
      <c r="O25" s="1"/>
      <c r="P25" s="23"/>
    </row>
    <row r="26" spans="1:16" ht="45" x14ac:dyDescent="0.25">
      <c r="A26" s="1" t="s">
        <v>83</v>
      </c>
      <c r="B26" s="2" t="s">
        <v>84</v>
      </c>
      <c r="C26" s="42"/>
      <c r="D26" s="5" t="str">
        <f>CONCATENATE("NOTBLANK(",F26,")")</f>
        <v>NOTBLANK(a)</v>
      </c>
      <c r="E26" s="1" t="b">
        <f>NOT(ISBLANK(F26))</f>
        <v>1</v>
      </c>
      <c r="F26" s="43" t="s">
        <v>81</v>
      </c>
      <c r="G26" s="1"/>
      <c r="H26" s="1"/>
      <c r="I26" s="1"/>
      <c r="J26" s="1"/>
      <c r="K26" s="1"/>
      <c r="L26" s="1"/>
      <c r="M26" s="1"/>
      <c r="N26" s="1"/>
      <c r="O26" s="1"/>
      <c r="P26" s="23"/>
    </row>
    <row r="27" spans="1:16" ht="60" x14ac:dyDescent="0.25">
      <c r="A27" s="1" t="s">
        <v>85</v>
      </c>
      <c r="B27" s="2" t="s">
        <v>86</v>
      </c>
      <c r="C27" s="42"/>
      <c r="D27" s="5" t="str">
        <f>CONCATENATE("LEN(",F27,")")</f>
        <v>LEN(123456789)</v>
      </c>
      <c r="E27" s="1">
        <f>LEN(F27)</f>
        <v>9</v>
      </c>
      <c r="F27" s="43">
        <v>123456789</v>
      </c>
      <c r="G27" s="1"/>
      <c r="H27" s="1"/>
      <c r="I27" s="1"/>
      <c r="J27" s="1"/>
      <c r="K27" s="1"/>
      <c r="L27" s="1"/>
      <c r="M27" s="1"/>
      <c r="N27" s="1"/>
      <c r="O27" s="1"/>
      <c r="P27" s="23"/>
    </row>
    <row r="28" spans="1:16" ht="150" x14ac:dyDescent="0.25">
      <c r="A28" s="1" t="s">
        <v>87</v>
      </c>
      <c r="B28" s="2" t="s">
        <v>89</v>
      </c>
      <c r="C28" s="42"/>
      <c r="D28" s="5" t="str">
        <f>CONCATENATE("TRIM(",F28,")")</f>
        <v>TRIM(                    20 spaces                    )</v>
      </c>
      <c r="E28" s="1" t="str">
        <f>TRIM(F28)</f>
        <v>20 spaces</v>
      </c>
      <c r="F28" s="43" t="s">
        <v>88</v>
      </c>
      <c r="G28" s="1"/>
      <c r="H28" s="1"/>
      <c r="I28" s="1"/>
      <c r="J28" s="1"/>
      <c r="K28" s="1"/>
      <c r="L28" s="1"/>
      <c r="M28" s="1"/>
      <c r="N28" s="1"/>
      <c r="O28" s="1"/>
      <c r="P28" s="23"/>
    </row>
    <row r="29" spans="1:16" ht="135" x14ac:dyDescent="0.25">
      <c r="A29" s="1" t="s">
        <v>91</v>
      </c>
      <c r="B29" s="2" t="s">
        <v>90</v>
      </c>
      <c r="C29" s="42"/>
      <c r="D29" s="5" t="str">
        <f>CONCATENATE("LTRIM(",F29,")")</f>
        <v>LTRIM(                    20 spaces                    )</v>
      </c>
      <c r="E29" s="1" t="str">
        <f>RIGHT(F29,LEN(F29)-FIND(TRIM(F29),F29)+1)</f>
        <v xml:space="preserve">20 spaces                    </v>
      </c>
      <c r="F29" s="43" t="s">
        <v>88</v>
      </c>
      <c r="G29" s="1"/>
      <c r="H29" s="1"/>
      <c r="I29" s="1"/>
      <c r="J29" s="1"/>
      <c r="K29" s="1"/>
      <c r="L29" s="1"/>
      <c r="M29" s="1"/>
      <c r="N29" s="1"/>
      <c r="O29" s="1"/>
      <c r="P29" s="23"/>
    </row>
    <row r="30" spans="1:16" ht="135" x14ac:dyDescent="0.25">
      <c r="A30" s="1" t="s">
        <v>92</v>
      </c>
      <c r="B30" s="2" t="s">
        <v>93</v>
      </c>
      <c r="C30" s="42"/>
      <c r="D30" s="5" t="str">
        <f>CONCATENATE("RTRIM(",F30,")")</f>
        <v>RTRIM(                    20 spaces                    )</v>
      </c>
      <c r="E30" s="1" t="str">
        <f>LEFT(F30,LEN(F30)-FIND(TRIM(F30),F30)+1)</f>
        <v xml:space="preserve">                    20 spaces</v>
      </c>
      <c r="F30" s="43" t="s">
        <v>88</v>
      </c>
      <c r="G30" s="1"/>
      <c r="H30" s="1"/>
      <c r="I30" s="1"/>
      <c r="J30" s="1"/>
      <c r="K30" s="1"/>
      <c r="L30" s="1"/>
      <c r="M30" s="1"/>
      <c r="N30" s="1"/>
      <c r="O30" s="1"/>
      <c r="P30" s="23"/>
    </row>
    <row r="31" spans="1:16" ht="60" x14ac:dyDescent="0.25">
      <c r="A31" s="1" t="s">
        <v>12</v>
      </c>
      <c r="B31" s="2" t="s">
        <v>94</v>
      </c>
      <c r="C31" s="42"/>
      <c r="D31" s="5" t="s">
        <v>95</v>
      </c>
      <c r="E31" s="3">
        <f ca="1">TODAY()</f>
        <v>46038</v>
      </c>
      <c r="F31" s="1"/>
      <c r="G31" s="1"/>
      <c r="H31" s="1"/>
      <c r="I31" s="1"/>
      <c r="J31" s="1"/>
      <c r="K31" s="1"/>
      <c r="L31" s="1"/>
      <c r="M31" s="1"/>
      <c r="N31" s="1"/>
      <c r="O31" s="1"/>
      <c r="P31" s="23"/>
    </row>
    <row r="32" spans="1:16" ht="105" x14ac:dyDescent="0.25">
      <c r="A32" s="1" t="s">
        <v>96</v>
      </c>
      <c r="B32" s="2" t="s">
        <v>97</v>
      </c>
      <c r="C32" s="42"/>
      <c r="D32" s="5" t="s">
        <v>98</v>
      </c>
      <c r="E32" s="1">
        <f ca="1">RAND()</f>
        <v>0.26264127572776697</v>
      </c>
      <c r="F32" s="1"/>
      <c r="G32" s="1"/>
      <c r="H32" s="1"/>
      <c r="I32" s="1"/>
      <c r="J32" s="1"/>
      <c r="K32" s="1"/>
      <c r="L32" s="1"/>
      <c r="M32" s="1"/>
      <c r="N32" s="1"/>
      <c r="O32" s="1"/>
      <c r="P32" s="23"/>
    </row>
    <row r="33" spans="1:16" ht="180" x14ac:dyDescent="0.25">
      <c r="A33" s="1" t="s">
        <v>99</v>
      </c>
      <c r="B33" s="2" t="s">
        <v>100</v>
      </c>
      <c r="C33" s="42"/>
      <c r="D33" s="5" t="str">
        <f>CONCATENATE("ROUND(",IF(ISBLANK(F33),"",F33),IF(NOT(ISBLANK(G33)),CONCATENATE(", ",G33),""),")")</f>
        <v>ROUND(3.14159, 3)</v>
      </c>
      <c r="E33" s="1">
        <f>ROUND(F33,G33)</f>
        <v>3.1419999999999999</v>
      </c>
      <c r="F33" s="43">
        <v>3.1415899999999999</v>
      </c>
      <c r="G33" s="43">
        <v>3</v>
      </c>
      <c r="H33" s="1"/>
      <c r="I33" s="1"/>
      <c r="J33" s="1"/>
      <c r="K33" s="1"/>
      <c r="L33" s="1"/>
      <c r="M33" s="1"/>
      <c r="N33" s="1"/>
      <c r="O33" s="1"/>
      <c r="P33" s="23"/>
    </row>
    <row r="34" spans="1:16" ht="75" x14ac:dyDescent="0.25">
      <c r="A34" s="1" t="s">
        <v>101</v>
      </c>
      <c r="B34" s="2" t="s">
        <v>103</v>
      </c>
      <c r="C34" s="42"/>
      <c r="D34" s="5" t="str">
        <f>CONCATENATE("FLOOR(",F34,")")</f>
        <v>FLOOR(3.14159)</v>
      </c>
      <c r="E34" s="1">
        <f>_xlfn.FLOOR.MATH(F34)</f>
        <v>3</v>
      </c>
      <c r="F34" s="43">
        <v>3.1415899999999999</v>
      </c>
      <c r="G34" s="1"/>
      <c r="H34" s="1"/>
      <c r="I34" s="1"/>
      <c r="J34" s="1"/>
      <c r="K34" s="1"/>
      <c r="L34" s="1"/>
      <c r="M34" s="1"/>
      <c r="N34" s="1"/>
      <c r="O34" s="1"/>
      <c r="P34" s="23"/>
    </row>
    <row r="35" spans="1:16" ht="75" x14ac:dyDescent="0.25">
      <c r="A35" s="1" t="s">
        <v>102</v>
      </c>
      <c r="B35" s="2" t="s">
        <v>104</v>
      </c>
      <c r="C35" s="42"/>
      <c r="D35" s="5" t="str">
        <f>CONCATENATE("CEILING(",F35,")")</f>
        <v>CEILING(3.14159)</v>
      </c>
      <c r="E35" s="1">
        <f>_xlfn.CEILING.MATH(F35)</f>
        <v>4</v>
      </c>
      <c r="F35" s="43">
        <v>3.1415899999999999</v>
      </c>
      <c r="G35" s="1"/>
      <c r="H35" s="1"/>
      <c r="I35" s="1"/>
      <c r="J35" s="1"/>
      <c r="K35" s="1"/>
      <c r="L35" s="1"/>
      <c r="M35" s="1"/>
      <c r="N35" s="1"/>
      <c r="O35" s="1"/>
      <c r="P35" s="23"/>
    </row>
    <row r="36" spans="1:16" ht="75" x14ac:dyDescent="0.25">
      <c r="A36" s="1" t="s">
        <v>105</v>
      </c>
      <c r="B36" s="2" t="s">
        <v>106</v>
      </c>
      <c r="C36" s="42"/>
      <c r="D36" s="5" t="str">
        <f>CONCATENATE("ABS(",F36,")")</f>
        <v>ABS(-3.14159)</v>
      </c>
      <c r="E36" s="1">
        <f>ABS(F36)</f>
        <v>3.1415899999999999</v>
      </c>
      <c r="F36" s="43">
        <v>-3.1415899999999999</v>
      </c>
      <c r="G36" s="1"/>
      <c r="H36" s="1"/>
      <c r="I36" s="1"/>
      <c r="J36" s="1"/>
      <c r="K36" s="1"/>
      <c r="L36" s="1"/>
      <c r="M36" s="1"/>
      <c r="N36" s="1"/>
      <c r="O36" s="1"/>
      <c r="P36" s="23"/>
    </row>
    <row r="37" spans="1:16" ht="45" x14ac:dyDescent="0.25">
      <c r="A37" s="1" t="s">
        <v>107</v>
      </c>
      <c r="B37" s="2" t="s">
        <v>108</v>
      </c>
      <c r="C37" s="42"/>
      <c r="D37" s="5" t="str">
        <f>CONCATENATE("SIN(",F37,")")</f>
        <v>SIN(42)</v>
      </c>
      <c r="E37" s="1">
        <f>SIN(F37)</f>
        <v>-0.91652154791563378</v>
      </c>
      <c r="F37" s="43">
        <v>42</v>
      </c>
      <c r="G37" s="1"/>
      <c r="H37" s="1"/>
      <c r="I37" s="1"/>
      <c r="J37" s="1"/>
      <c r="K37" s="1"/>
      <c r="L37" s="1"/>
      <c r="M37" s="1"/>
      <c r="N37" s="1"/>
      <c r="O37" s="1"/>
      <c r="P37" s="23"/>
    </row>
    <row r="38" spans="1:16" ht="45" x14ac:dyDescent="0.25">
      <c r="A38" s="1" t="s">
        <v>109</v>
      </c>
      <c r="B38" s="2" t="s">
        <v>110</v>
      </c>
      <c r="C38" s="42"/>
      <c r="D38" s="5" t="str">
        <f>CONCATENATE("COS(",F38,")")</f>
        <v>COS(42)</v>
      </c>
      <c r="E38" s="1">
        <f>COS(F38)</f>
        <v>-0.39998531498835127</v>
      </c>
      <c r="F38" s="43">
        <v>42</v>
      </c>
      <c r="G38" s="1"/>
      <c r="H38" s="1"/>
      <c r="I38" s="1"/>
      <c r="J38" s="1"/>
      <c r="K38" s="1"/>
      <c r="L38" s="1"/>
      <c r="M38" s="1"/>
      <c r="N38" s="1"/>
      <c r="O38" s="1"/>
      <c r="P38" s="23"/>
    </row>
    <row r="39" spans="1:16" ht="60" x14ac:dyDescent="0.25">
      <c r="A39" s="1" t="s">
        <v>111</v>
      </c>
      <c r="B39" s="2" t="s">
        <v>112</v>
      </c>
      <c r="C39" s="42"/>
      <c r="D39" s="5" t="str">
        <f>CONCATENATE("TAN(",F39,")")</f>
        <v>TAN(42)</v>
      </c>
      <c r="E39" s="1">
        <f>TAN(F39)</f>
        <v>2.2913879924374863</v>
      </c>
      <c r="F39" s="43">
        <v>42</v>
      </c>
      <c r="G39" s="1"/>
      <c r="H39" s="1"/>
      <c r="I39" s="1"/>
      <c r="J39" s="1"/>
      <c r="K39" s="1"/>
      <c r="L39" s="1"/>
      <c r="M39" s="1"/>
      <c r="N39" s="1"/>
      <c r="O39" s="1"/>
      <c r="P39" s="23"/>
    </row>
    <row r="40" spans="1:16" ht="90" x14ac:dyDescent="0.25">
      <c r="A40" s="1" t="s">
        <v>113</v>
      </c>
      <c r="B40" s="2" t="s">
        <v>116</v>
      </c>
      <c r="C40" s="42"/>
      <c r="D40" s="5" t="str">
        <f>CONCATENATE("ASIN(",F40,")")</f>
        <v>ASIN(1)</v>
      </c>
      <c r="E40" s="1">
        <f>ASIN(F40)</f>
        <v>1.5707963267948966</v>
      </c>
      <c r="F40" s="43">
        <v>1</v>
      </c>
      <c r="G40" s="1"/>
      <c r="H40" s="1"/>
      <c r="I40" s="1"/>
      <c r="J40" s="1"/>
      <c r="K40" s="1"/>
      <c r="L40" s="1"/>
      <c r="M40" s="1"/>
      <c r="N40" s="1"/>
      <c r="O40" s="1"/>
      <c r="P40" s="23"/>
    </row>
    <row r="41" spans="1:16" ht="90" x14ac:dyDescent="0.25">
      <c r="A41" s="1" t="s">
        <v>114</v>
      </c>
      <c r="B41" s="2" t="s">
        <v>115</v>
      </c>
      <c r="C41" s="42"/>
      <c r="D41" s="5" t="str">
        <f>CONCATENATE("ACOS(",F41,")")</f>
        <v>ACOS(-1)</v>
      </c>
      <c r="E41" s="1">
        <f>ACOS(F41)</f>
        <v>3.1415926535897931</v>
      </c>
      <c r="F41" s="43">
        <v>-1</v>
      </c>
      <c r="G41" s="1"/>
      <c r="H41" s="1"/>
      <c r="I41" s="1"/>
      <c r="J41" s="1"/>
      <c r="K41" s="1"/>
      <c r="L41" s="1"/>
      <c r="M41" s="1"/>
      <c r="N41" s="1"/>
      <c r="O41" s="1"/>
      <c r="P41" s="23"/>
    </row>
    <row r="42" spans="1:16" ht="60" x14ac:dyDescent="0.25">
      <c r="A42" s="1" t="s">
        <v>117</v>
      </c>
      <c r="B42" s="2" t="s">
        <v>118</v>
      </c>
      <c r="C42" s="42"/>
      <c r="D42" s="5" t="str">
        <f>CONCATENATE("ATAN(",F42,")")</f>
        <v>ATAN(42)</v>
      </c>
      <c r="E42" s="1">
        <f>ATAN(F42)</f>
        <v>1.5469913006098266</v>
      </c>
      <c r="F42" s="43">
        <v>42</v>
      </c>
      <c r="G42" s="1"/>
      <c r="H42" s="1"/>
      <c r="I42" s="1"/>
      <c r="J42" s="1"/>
      <c r="K42" s="1"/>
      <c r="L42" s="1"/>
      <c r="M42" s="1"/>
      <c r="N42" s="1"/>
      <c r="O42" s="1"/>
      <c r="P42" s="23"/>
    </row>
    <row r="43" spans="1:16" ht="60" x14ac:dyDescent="0.25">
      <c r="A43" s="1" t="s">
        <v>120</v>
      </c>
      <c r="B43" s="2" t="s">
        <v>119</v>
      </c>
      <c r="C43" s="42"/>
      <c r="D43" s="5" t="str">
        <f>CONCATENATE("SINH(",F43,")")</f>
        <v>SINH(42)</v>
      </c>
      <c r="E43" s="1">
        <f>SINH(F43)</f>
        <v>8.696374707602505E+17</v>
      </c>
      <c r="F43" s="43">
        <v>42</v>
      </c>
      <c r="G43" s="1"/>
      <c r="H43" s="1"/>
      <c r="I43" s="1"/>
      <c r="J43" s="1"/>
      <c r="K43" s="1"/>
      <c r="L43" s="1"/>
      <c r="M43" s="1"/>
      <c r="N43" s="1"/>
      <c r="O43" s="1"/>
      <c r="P43" s="23"/>
    </row>
    <row r="44" spans="1:16" ht="60" x14ac:dyDescent="0.25">
      <c r="A44" s="1" t="s">
        <v>121</v>
      </c>
      <c r="B44" s="2" t="s">
        <v>122</v>
      </c>
      <c r="C44" s="42"/>
      <c r="D44" s="5" t="str">
        <f>CONCATENATE("COSH(",F44,")")</f>
        <v>COSH(42)</v>
      </c>
      <c r="E44" s="1">
        <f>COSH(F44)</f>
        <v>8.696374707602505E+17</v>
      </c>
      <c r="F44" s="43">
        <v>42</v>
      </c>
      <c r="G44" s="1"/>
      <c r="H44" s="1"/>
      <c r="I44" s="1"/>
      <c r="J44" s="1"/>
      <c r="K44" s="1"/>
      <c r="L44" s="1"/>
      <c r="M44" s="1"/>
      <c r="N44" s="1"/>
      <c r="O44" s="1"/>
      <c r="P44" s="23"/>
    </row>
    <row r="45" spans="1:16" ht="75" x14ac:dyDescent="0.25">
      <c r="A45" s="1" t="s">
        <v>123</v>
      </c>
      <c r="B45" s="2" t="s">
        <v>124</v>
      </c>
      <c r="C45" s="42"/>
      <c r="D45" s="5" t="str">
        <f>CONCATENATE("TANH(",F45,")")</f>
        <v>TANH(42)</v>
      </c>
      <c r="E45" s="1">
        <f>TANH(F45)</f>
        <v>1</v>
      </c>
      <c r="F45" s="43">
        <v>42</v>
      </c>
      <c r="G45" s="1"/>
      <c r="H45" s="1"/>
      <c r="I45" s="1"/>
      <c r="J45" s="1"/>
      <c r="K45" s="1"/>
      <c r="L45" s="1"/>
      <c r="M45" s="1"/>
      <c r="N45" s="1"/>
      <c r="O45" s="1"/>
      <c r="P45" s="23"/>
    </row>
    <row r="46" spans="1:16" ht="60" x14ac:dyDescent="0.25">
      <c r="A46" s="1" t="s">
        <v>125</v>
      </c>
      <c r="B46" s="2" t="s">
        <v>126</v>
      </c>
      <c r="C46" s="42"/>
      <c r="D46" s="5" t="str">
        <f>CONCATENATE("RAD(",F46,")")</f>
        <v>RAD(42)</v>
      </c>
      <c r="E46" s="1">
        <f>RADIANS(F46)</f>
        <v>0.73303828583761843</v>
      </c>
      <c r="F46" s="43">
        <v>42</v>
      </c>
      <c r="G46" s="1"/>
      <c r="H46" s="1"/>
      <c r="I46" s="1"/>
      <c r="J46" s="1"/>
      <c r="K46" s="1"/>
      <c r="L46" s="1"/>
      <c r="M46" s="1"/>
      <c r="N46" s="1"/>
      <c r="O46" s="1"/>
      <c r="P46" s="23"/>
    </row>
    <row r="47" spans="1:16" ht="60" x14ac:dyDescent="0.25">
      <c r="A47" s="1" t="s">
        <v>127</v>
      </c>
      <c r="B47" s="2" t="s">
        <v>128</v>
      </c>
      <c r="C47" s="42"/>
      <c r="D47" s="5" t="str">
        <f>CONCATENATE("DEG(",F47,")")</f>
        <v>DEG(42)</v>
      </c>
      <c r="E47" s="1">
        <f>DEGREES(F47)</f>
        <v>2406.4227395494577</v>
      </c>
      <c r="F47" s="43">
        <v>42</v>
      </c>
      <c r="G47" s="1"/>
      <c r="H47" s="1"/>
      <c r="I47" s="1"/>
      <c r="J47" s="1"/>
      <c r="K47" s="1"/>
      <c r="L47" s="1"/>
      <c r="M47" s="1"/>
      <c r="N47" s="1"/>
      <c r="O47" s="1"/>
      <c r="P47" s="23"/>
    </row>
    <row r="48" spans="1:16" ht="45" x14ac:dyDescent="0.25">
      <c r="A48" s="1" t="s">
        <v>129</v>
      </c>
      <c r="B48" s="2" t="s">
        <v>130</v>
      </c>
      <c r="C48" s="42"/>
      <c r="D48" s="5" t="str">
        <f>CONCATENATE("MAX(",IF(NOT(ISBLANK(F48)),F48,""),IF(NOT(ISBLANK(G48)),CONCATENATE(", ",G48),""),IF(NOT(ISBLANK(H48)),CONCATENATE(", ",H48),""),IF(NOT(ISBLANK(I48)),CONCATENATE(", ",I48),""),IF(NOT(ISBLANK(J48)),CONCATENATE(", ",J48),""),IF(NOT(ISBLANK(K48)),CONCATENATE(", ",K48),""),IF(NOT(ISBLANK(L48)),CONCATENATE(", ",L48),""),IF(NOT(ISBLANK(M48)),CONCATENATE(", ",M48),""),IF(NOT(ISBLANK(N48)),CONCATENATE(", ",N48),""),IF(NOT(ISBLANK(O48)),CONCATENATE(", ",O48),""),")")</f>
        <v>MAX(5, 4, 3, 2, 1, 0, 6, 7, 8, 9)</v>
      </c>
      <c r="E48" s="1">
        <f>MAX(F48:O48)</f>
        <v>9</v>
      </c>
      <c r="F48" s="43">
        <v>5</v>
      </c>
      <c r="G48" s="43">
        <v>4</v>
      </c>
      <c r="H48" s="43">
        <v>3</v>
      </c>
      <c r="I48" s="43">
        <v>2</v>
      </c>
      <c r="J48" s="43">
        <v>1</v>
      </c>
      <c r="K48" s="43">
        <v>0</v>
      </c>
      <c r="L48" s="43">
        <v>6</v>
      </c>
      <c r="M48" s="43">
        <v>7</v>
      </c>
      <c r="N48" s="43">
        <v>8</v>
      </c>
      <c r="O48" s="43">
        <v>9</v>
      </c>
      <c r="P48" s="23"/>
    </row>
    <row r="49" spans="1:16" ht="45" x14ac:dyDescent="0.25">
      <c r="A49" s="1" t="s">
        <v>131</v>
      </c>
      <c r="B49" s="2" t="s">
        <v>132</v>
      </c>
      <c r="C49" s="42"/>
      <c r="D49" s="5" t="str">
        <f>CONCATENATE("MIN(",IF(NOT(ISBLANK(F49)),F49,""),IF(NOT(ISBLANK(G49)),CONCATENATE(", ",G49),""),IF(NOT(ISBLANK(H49)),CONCATENATE(", ",H49),""),IF(NOT(ISBLANK(I49)),CONCATENATE(", ",I49),""),IF(NOT(ISBLANK(J49)),CONCATENATE(", ",J49),""),IF(NOT(ISBLANK(K49)),CONCATENATE(", ",K49),""),IF(NOT(ISBLANK(L49)),CONCATENATE(", ",L49),""),IF(NOT(ISBLANK(M49)),CONCATENATE(", ",M49),""),IF(NOT(ISBLANK(N49)),CONCATENATE(", ",N49),""),IF(NOT(ISBLANK(O49)),CONCATENATE(", ",O49),""),")")</f>
        <v>MIN(5, 4, 3, 2, 1, 0, 6, 7, 8, 9)</v>
      </c>
      <c r="E49" s="1">
        <f>MIN(F49:O49)</f>
        <v>0</v>
      </c>
      <c r="F49" s="43">
        <v>5</v>
      </c>
      <c r="G49" s="43">
        <v>4</v>
      </c>
      <c r="H49" s="43">
        <v>3</v>
      </c>
      <c r="I49" s="43">
        <v>2</v>
      </c>
      <c r="J49" s="43">
        <v>1</v>
      </c>
      <c r="K49" s="43">
        <v>0</v>
      </c>
      <c r="L49" s="43">
        <v>6</v>
      </c>
      <c r="M49" s="43">
        <v>7</v>
      </c>
      <c r="N49" s="43">
        <v>8</v>
      </c>
      <c r="O49" s="43">
        <v>9</v>
      </c>
      <c r="P49" s="23"/>
    </row>
    <row r="50" spans="1:16" ht="75" x14ac:dyDescent="0.25">
      <c r="A50" s="1" t="s">
        <v>133</v>
      </c>
      <c r="B50" s="2" t="s">
        <v>134</v>
      </c>
      <c r="C50" s="42"/>
      <c r="D50" s="5" t="str">
        <f>CONCATENATE("LOG(",F50,")")</f>
        <v>LOG(42)</v>
      </c>
      <c r="E50" s="1">
        <f>LOG(F50,EXP(1))</f>
        <v>3.7376696182833684</v>
      </c>
      <c r="F50" s="43">
        <v>42</v>
      </c>
      <c r="G50" s="1"/>
      <c r="H50" s="1"/>
      <c r="I50" s="1"/>
      <c r="J50" s="1"/>
      <c r="K50" s="1"/>
      <c r="L50" s="1"/>
      <c r="M50" s="1"/>
      <c r="N50" s="1"/>
      <c r="O50" s="1"/>
      <c r="P50" s="23"/>
    </row>
    <row r="51" spans="1:16" ht="135" x14ac:dyDescent="0.25">
      <c r="A51" s="1" t="s">
        <v>135</v>
      </c>
      <c r="B51" s="2" t="s">
        <v>136</v>
      </c>
      <c r="C51" s="42"/>
      <c r="D51" s="5" t="str">
        <f>CONCATENATE("LOG10(",F51,")")</f>
        <v>LOG10(10000000000)</v>
      </c>
      <c r="E51" s="1">
        <f>LOG(F51,10)</f>
        <v>10</v>
      </c>
      <c r="F51" s="43">
        <v>10000000000</v>
      </c>
      <c r="G51" s="1"/>
      <c r="H51" s="1"/>
      <c r="I51" s="1"/>
      <c r="J51" s="1"/>
      <c r="K51" s="1"/>
      <c r="L51" s="1"/>
      <c r="M51" s="1"/>
      <c r="N51" s="1"/>
      <c r="O51" s="1"/>
      <c r="P51" s="23"/>
    </row>
    <row r="52" spans="1:16" ht="75" x14ac:dyDescent="0.25">
      <c r="A52" s="1" t="s">
        <v>137</v>
      </c>
      <c r="B52" s="2" t="s">
        <v>138</v>
      </c>
      <c r="C52" s="42"/>
      <c r="D52" s="5" t="str">
        <f>CONCATENATE("SQRT(",F52,")")</f>
        <v>SQRT(4)</v>
      </c>
      <c r="E52" s="1">
        <f>SQRT(F52)</f>
        <v>2</v>
      </c>
      <c r="F52" s="43">
        <v>4</v>
      </c>
      <c r="G52" s="1"/>
      <c r="H52" s="1"/>
      <c r="I52" s="1"/>
      <c r="J52" s="1"/>
      <c r="K52" s="1"/>
      <c r="L52" s="1"/>
      <c r="M52" s="1"/>
      <c r="N52" s="1"/>
      <c r="O52" s="1"/>
      <c r="P52" s="23"/>
    </row>
    <row r="53" spans="1:16" ht="75" x14ac:dyDescent="0.25">
      <c r="A53" s="1" t="s">
        <v>79</v>
      </c>
      <c r="B53" s="2" t="s">
        <v>139</v>
      </c>
      <c r="C53" s="42"/>
      <c r="D53" s="5" t="s">
        <v>79</v>
      </c>
      <c r="E53" s="1">
        <f>PI()</f>
        <v>3.1415926535897931</v>
      </c>
      <c r="F53" s="1"/>
      <c r="G53" s="1"/>
      <c r="H53" s="1"/>
      <c r="I53" s="1"/>
      <c r="J53" s="1"/>
      <c r="K53" s="1"/>
      <c r="L53" s="1"/>
      <c r="M53" s="1"/>
      <c r="N53" s="1"/>
      <c r="O53" s="1"/>
      <c r="P53" s="23"/>
    </row>
    <row r="54" spans="1:16" x14ac:dyDescent="0.25">
      <c r="A54" s="23"/>
      <c r="B54" s="24"/>
      <c r="C54" s="24"/>
      <c r="D54" s="23"/>
      <c r="E54" s="23"/>
      <c r="F54" s="23"/>
      <c r="G54" s="23"/>
      <c r="H54" s="23"/>
      <c r="I54" s="23"/>
      <c r="J54" s="23"/>
      <c r="K54" s="23"/>
      <c r="L54" s="23"/>
      <c r="M54" s="23"/>
      <c r="N54" s="23"/>
      <c r="O54" s="23"/>
      <c r="P54" s="23"/>
    </row>
    <row r="55" spans="1:16" x14ac:dyDescent="0.25">
      <c r="A55" s="25"/>
      <c r="B55" s="26"/>
      <c r="C55" s="26"/>
      <c r="D55" s="25"/>
      <c r="E55" s="25"/>
      <c r="F55" s="25"/>
    </row>
    <row r="56" spans="1:16" x14ac:dyDescent="0.25">
      <c r="A56" s="25"/>
      <c r="B56" s="26"/>
      <c r="C56" s="26"/>
      <c r="D56" s="25"/>
      <c r="E56" s="25"/>
      <c r="F56" s="25"/>
    </row>
    <row r="57" spans="1:16" x14ac:dyDescent="0.25">
      <c r="A57" s="25"/>
      <c r="B57" s="26"/>
      <c r="C57" s="26"/>
      <c r="D57" s="25"/>
      <c r="E57" s="25"/>
      <c r="F57" s="25"/>
    </row>
    <row r="58" spans="1:16" x14ac:dyDescent="0.25">
      <c r="A58" s="25"/>
      <c r="B58" s="26"/>
      <c r="C58" s="26"/>
      <c r="D58" s="25"/>
      <c r="E58" s="25"/>
      <c r="F58" s="25"/>
    </row>
    <row r="59" spans="1:16" x14ac:dyDescent="0.25">
      <c r="A59" s="25"/>
      <c r="B59" s="26"/>
      <c r="C59" s="26"/>
      <c r="D59" s="25"/>
      <c r="E59" s="25"/>
      <c r="F59" s="25"/>
    </row>
    <row r="60" spans="1:16" x14ac:dyDescent="0.25">
      <c r="A60" s="25"/>
      <c r="B60" s="26"/>
      <c r="C60" s="26"/>
      <c r="D60" s="25"/>
      <c r="E60" s="25"/>
      <c r="F60" s="25"/>
    </row>
    <row r="61" spans="1:16" x14ac:dyDescent="0.25">
      <c r="A61" s="25"/>
      <c r="B61" s="26"/>
      <c r="C61" s="26"/>
      <c r="D61" s="25"/>
      <c r="E61" s="25"/>
      <c r="F61" s="25"/>
    </row>
    <row r="62" spans="1:16" x14ac:dyDescent="0.25">
      <c r="A62" s="25"/>
      <c r="B62" s="26"/>
      <c r="C62" s="26"/>
      <c r="D62" s="25"/>
      <c r="E62" s="25"/>
      <c r="F62" s="25"/>
    </row>
    <row r="63" spans="1:16" x14ac:dyDescent="0.25">
      <c r="A63" s="25"/>
      <c r="B63" s="26"/>
      <c r="C63" s="26"/>
      <c r="D63" s="25"/>
      <c r="E63" s="25"/>
      <c r="F63" s="25"/>
    </row>
    <row r="64" spans="1:16" x14ac:dyDescent="0.25">
      <c r="A64" s="25"/>
      <c r="B64" s="26"/>
      <c r="C64" s="26"/>
      <c r="D64" s="25"/>
      <c r="E64" s="25"/>
      <c r="F64" s="25"/>
    </row>
    <row r="65" spans="1:6" x14ac:dyDescent="0.25">
      <c r="A65" s="25"/>
      <c r="B65" s="26"/>
      <c r="C65" s="26"/>
      <c r="D65" s="25"/>
      <c r="E65" s="25"/>
      <c r="F65" s="25"/>
    </row>
    <row r="66" spans="1:6" x14ac:dyDescent="0.25">
      <c r="A66" s="25"/>
      <c r="B66" s="26"/>
      <c r="C66" s="26"/>
      <c r="D66" s="25"/>
      <c r="E66" s="25"/>
      <c r="F66" s="25"/>
    </row>
    <row r="67" spans="1:6" x14ac:dyDescent="0.25">
      <c r="A67" s="25"/>
      <c r="B67" s="26"/>
      <c r="C67" s="26"/>
      <c r="D67" s="25"/>
      <c r="E67" s="25"/>
      <c r="F67" s="25"/>
    </row>
    <row r="68" spans="1:6" x14ac:dyDescent="0.25">
      <c r="A68" s="25"/>
      <c r="B68" s="26"/>
      <c r="C68" s="26"/>
      <c r="D68" s="25"/>
      <c r="E68" s="25"/>
      <c r="F68" s="25"/>
    </row>
    <row r="69" spans="1:6" x14ac:dyDescent="0.25">
      <c r="A69" s="25"/>
      <c r="B69" s="26"/>
      <c r="C69" s="26"/>
      <c r="D69" s="25"/>
      <c r="E69" s="25"/>
      <c r="F69" s="25"/>
    </row>
    <row r="70" spans="1:6" x14ac:dyDescent="0.25">
      <c r="A70" s="25"/>
      <c r="B70" s="26"/>
      <c r="C70" s="26"/>
      <c r="D70" s="25"/>
      <c r="E70" s="25"/>
      <c r="F70" s="25"/>
    </row>
    <row r="71" spans="1:6" x14ac:dyDescent="0.25">
      <c r="A71" s="25"/>
      <c r="B71" s="26"/>
      <c r="C71" s="26"/>
      <c r="D71" s="25"/>
      <c r="E71" s="25"/>
      <c r="F71" s="25"/>
    </row>
    <row r="72" spans="1:6" x14ac:dyDescent="0.25">
      <c r="A72" s="25"/>
      <c r="B72" s="26"/>
      <c r="C72" s="26"/>
      <c r="D72" s="25"/>
      <c r="E72" s="25"/>
      <c r="F72" s="25"/>
    </row>
    <row r="73" spans="1:6" x14ac:dyDescent="0.25">
      <c r="A73" s="25"/>
      <c r="B73" s="26"/>
      <c r="C73" s="26"/>
      <c r="D73" s="25"/>
      <c r="E73" s="25"/>
      <c r="F73" s="25"/>
    </row>
    <row r="74" spans="1:6" x14ac:dyDescent="0.25">
      <c r="A74" s="25"/>
      <c r="B74" s="26"/>
      <c r="C74" s="26"/>
      <c r="D74" s="25"/>
      <c r="E74" s="25"/>
      <c r="F74" s="25"/>
    </row>
    <row r="75" spans="1:6" x14ac:dyDescent="0.25">
      <c r="A75" s="25"/>
      <c r="B75" s="26"/>
      <c r="C75" s="26"/>
      <c r="D75" s="25"/>
      <c r="E75" s="25"/>
      <c r="F75" s="25"/>
    </row>
    <row r="76" spans="1:6" x14ac:dyDescent="0.25">
      <c r="A76" s="25"/>
      <c r="B76" s="26"/>
      <c r="C76" s="26"/>
      <c r="D76" s="25"/>
      <c r="E76" s="25"/>
      <c r="F76" s="25"/>
    </row>
    <row r="77" spans="1:6" x14ac:dyDescent="0.25">
      <c r="A77" s="25"/>
      <c r="B77" s="26"/>
      <c r="C77" s="26"/>
      <c r="D77" s="25"/>
      <c r="E77" s="25"/>
      <c r="F77" s="25"/>
    </row>
    <row r="78" spans="1:6" x14ac:dyDescent="0.25">
      <c r="A78" s="25"/>
      <c r="B78" s="26"/>
      <c r="C78" s="26"/>
      <c r="D78" s="25"/>
      <c r="E78" s="25"/>
      <c r="F78" s="25"/>
    </row>
    <row r="79" spans="1:6" x14ac:dyDescent="0.25">
      <c r="A79" s="25"/>
      <c r="B79" s="26"/>
      <c r="C79" s="26"/>
      <c r="D79" s="25"/>
      <c r="E79" s="25"/>
      <c r="F79" s="25"/>
    </row>
    <row r="80" spans="1:6" x14ac:dyDescent="0.25">
      <c r="A80" s="25"/>
      <c r="B80" s="26"/>
      <c r="C80" s="26"/>
      <c r="D80" s="25"/>
      <c r="E80" s="25"/>
      <c r="F80" s="25"/>
    </row>
    <row r="81" spans="1:6" x14ac:dyDescent="0.25">
      <c r="A81" s="25"/>
      <c r="B81" s="26"/>
      <c r="C81" s="26"/>
      <c r="D81" s="25"/>
      <c r="E81" s="25"/>
      <c r="F81" s="25"/>
    </row>
    <row r="82" spans="1:6" x14ac:dyDescent="0.25">
      <c r="A82" s="25"/>
      <c r="B82" s="26"/>
      <c r="C82" s="26"/>
      <c r="D82" s="25"/>
      <c r="E82" s="25"/>
      <c r="F82" s="25"/>
    </row>
    <row r="83" spans="1:6" x14ac:dyDescent="0.25">
      <c r="A83" s="25"/>
      <c r="B83" s="26"/>
      <c r="C83" s="26"/>
      <c r="D83" s="25"/>
      <c r="E83" s="25"/>
      <c r="F83" s="25"/>
    </row>
    <row r="84" spans="1:6" x14ac:dyDescent="0.25">
      <c r="A84" s="25"/>
      <c r="B84" s="26"/>
      <c r="C84" s="26"/>
      <c r="D84" s="25"/>
      <c r="E84" s="25"/>
      <c r="F84" s="25"/>
    </row>
    <row r="85" spans="1:6" x14ac:dyDescent="0.25">
      <c r="A85" s="25"/>
      <c r="B85" s="26"/>
      <c r="C85" s="26"/>
      <c r="D85" s="25"/>
      <c r="E85" s="25"/>
      <c r="F85" s="25"/>
    </row>
    <row r="86" spans="1:6" x14ac:dyDescent="0.25">
      <c r="A86" s="25"/>
      <c r="B86" s="26"/>
      <c r="C86" s="26"/>
      <c r="D86" s="25"/>
      <c r="E86" s="25"/>
      <c r="F86" s="25"/>
    </row>
    <row r="87" spans="1:6" x14ac:dyDescent="0.25">
      <c r="A87" s="25"/>
      <c r="B87" s="26"/>
      <c r="C87" s="26"/>
      <c r="D87" s="25"/>
      <c r="E87" s="25"/>
      <c r="F87" s="25"/>
    </row>
    <row r="88" spans="1:6" x14ac:dyDescent="0.25">
      <c r="A88" s="25"/>
      <c r="B88" s="26"/>
      <c r="C88" s="26"/>
      <c r="D88" s="25"/>
      <c r="E88" s="25"/>
      <c r="F88" s="25"/>
    </row>
    <row r="89" spans="1:6" x14ac:dyDescent="0.25">
      <c r="A89" s="25"/>
      <c r="B89" s="26"/>
      <c r="C89" s="26"/>
      <c r="D89" s="25"/>
      <c r="E89" s="25"/>
      <c r="F89" s="25"/>
    </row>
    <row r="90" spans="1:6" x14ac:dyDescent="0.25">
      <c r="A90" s="25"/>
      <c r="B90" s="26"/>
      <c r="C90" s="26"/>
      <c r="D90" s="25"/>
      <c r="E90" s="25"/>
      <c r="F90" s="25"/>
    </row>
    <row r="91" spans="1:6" x14ac:dyDescent="0.25">
      <c r="A91" s="25"/>
      <c r="B91" s="26"/>
      <c r="C91" s="26"/>
      <c r="D91" s="25"/>
      <c r="E91" s="25"/>
      <c r="F91" s="25"/>
    </row>
    <row r="92" spans="1:6" x14ac:dyDescent="0.25">
      <c r="A92" s="25"/>
      <c r="B92" s="26"/>
      <c r="C92" s="26"/>
      <c r="D92" s="25"/>
      <c r="E92" s="25"/>
      <c r="F92" s="25"/>
    </row>
    <row r="93" spans="1:6" x14ac:dyDescent="0.25">
      <c r="A93" s="25"/>
      <c r="B93" s="26"/>
      <c r="C93" s="26"/>
      <c r="D93" s="25"/>
      <c r="E93" s="25"/>
      <c r="F93" s="25"/>
    </row>
    <row r="94" spans="1:6" x14ac:dyDescent="0.25">
      <c r="A94" s="25"/>
      <c r="B94" s="26"/>
      <c r="C94" s="26"/>
      <c r="D94" s="25"/>
      <c r="E94" s="25"/>
      <c r="F94" s="25"/>
    </row>
    <row r="95" spans="1:6" x14ac:dyDescent="0.25">
      <c r="A95" s="25"/>
      <c r="B95" s="26"/>
      <c r="C95" s="26"/>
      <c r="D95" s="25"/>
      <c r="E95" s="25"/>
      <c r="F95" s="25"/>
    </row>
    <row r="96" spans="1:6" x14ac:dyDescent="0.25">
      <c r="A96" s="25"/>
      <c r="B96" s="26"/>
      <c r="C96" s="26"/>
      <c r="D96" s="25"/>
      <c r="E96" s="25"/>
      <c r="F96" s="25"/>
    </row>
    <row r="97" spans="1:6" x14ac:dyDescent="0.25">
      <c r="A97" s="25"/>
      <c r="B97" s="26"/>
      <c r="C97" s="26"/>
      <c r="D97" s="25"/>
      <c r="E97" s="25"/>
      <c r="F97" s="25"/>
    </row>
    <row r="98" spans="1:6" x14ac:dyDescent="0.25">
      <c r="A98" s="25"/>
      <c r="B98" s="26"/>
      <c r="C98" s="26"/>
      <c r="D98" s="25"/>
      <c r="E98" s="25"/>
      <c r="F98" s="25"/>
    </row>
    <row r="99" spans="1:6" x14ac:dyDescent="0.25">
      <c r="A99" s="25"/>
      <c r="B99" s="26"/>
      <c r="C99" s="26"/>
      <c r="D99" s="25"/>
      <c r="E99" s="25"/>
      <c r="F99" s="25"/>
    </row>
    <row r="100" spans="1:6" x14ac:dyDescent="0.25">
      <c r="A100" s="25"/>
      <c r="B100" s="26"/>
      <c r="C100" s="26"/>
      <c r="D100" s="25"/>
      <c r="E100" s="25"/>
      <c r="F100" s="25"/>
    </row>
    <row r="101" spans="1:6" x14ac:dyDescent="0.25">
      <c r="A101" s="25"/>
      <c r="B101" s="26"/>
      <c r="C101" s="26"/>
      <c r="D101" s="25"/>
      <c r="E101" s="25"/>
      <c r="F101" s="25"/>
    </row>
    <row r="102" spans="1:6" x14ac:dyDescent="0.25">
      <c r="A102" s="25"/>
      <c r="B102" s="26"/>
      <c r="C102" s="26"/>
      <c r="D102" s="25"/>
      <c r="E102" s="25"/>
      <c r="F102" s="25"/>
    </row>
    <row r="103" spans="1:6" x14ac:dyDescent="0.25">
      <c r="A103" s="25"/>
      <c r="B103" s="26"/>
      <c r="C103" s="26"/>
      <c r="D103" s="25"/>
      <c r="E103" s="25"/>
      <c r="F103" s="25"/>
    </row>
    <row r="104" spans="1:6" x14ac:dyDescent="0.25">
      <c r="A104" s="25"/>
      <c r="B104" s="26"/>
      <c r="C104" s="26"/>
      <c r="D104" s="25"/>
      <c r="E104" s="25"/>
      <c r="F104" s="25"/>
    </row>
    <row r="105" spans="1:6" x14ac:dyDescent="0.25">
      <c r="A105" s="25"/>
      <c r="B105" s="26"/>
      <c r="C105" s="26"/>
      <c r="D105" s="25"/>
      <c r="E105" s="25"/>
      <c r="F105" s="25"/>
    </row>
    <row r="106" spans="1:6" x14ac:dyDescent="0.25">
      <c r="A106" s="25"/>
      <c r="B106" s="26"/>
      <c r="C106" s="26"/>
      <c r="D106" s="25"/>
      <c r="E106" s="25"/>
      <c r="F106" s="25"/>
    </row>
    <row r="107" spans="1:6" x14ac:dyDescent="0.25">
      <c r="A107" s="25"/>
      <c r="B107" s="26"/>
      <c r="C107" s="26"/>
      <c r="D107" s="25"/>
      <c r="E107" s="25"/>
      <c r="F107" s="25"/>
    </row>
    <row r="108" spans="1:6" x14ac:dyDescent="0.25">
      <c r="A108" s="25"/>
      <c r="B108" s="26"/>
      <c r="C108" s="26"/>
      <c r="D108" s="25"/>
      <c r="E108" s="25"/>
      <c r="F108" s="25"/>
    </row>
    <row r="109" spans="1:6" x14ac:dyDescent="0.25">
      <c r="A109" s="25"/>
      <c r="B109" s="26"/>
      <c r="C109" s="26"/>
      <c r="D109" s="25"/>
      <c r="E109" s="25"/>
      <c r="F109" s="25"/>
    </row>
  </sheetData>
  <sheetProtection sheet="1" objects="1" scenarios="1"/>
  <pageMargins left="0.7" right="0.7" top="0.75" bottom="0.75" header="0.3" footer="0.3"/>
  <pageSetup orientation="portrait" horizontalDpi="240" verticalDpi="240" r:id="rId1"/>
  <headerFooter>
    <oddFooter xml:space="preserve">&amp;L_x000D_&amp;1#&amp;"Calibri"&amp;10&amp;K000000 Internal </oddFooter>
  </headerFooter>
  <ignoredErrors>
    <ignoredError sqref="E2" evalError="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3AEFD-141F-436D-A781-2265BFD596B1}">
  <sheetPr codeName="Sheet3"/>
  <dimension ref="A1:M8"/>
  <sheetViews>
    <sheetView showGridLines="0" workbookViewId="0">
      <pane ySplit="1" topLeftCell="A2" activePane="bottomLeft" state="frozen"/>
      <selection activeCell="D51" sqref="D51"/>
      <selection pane="bottomLeft" activeCell="C5" sqref="C5"/>
    </sheetView>
  </sheetViews>
  <sheetFormatPr defaultColWidth="8.85546875" defaultRowHeight="15" x14ac:dyDescent="0.25"/>
  <cols>
    <col min="1" max="1" width="18.42578125" style="7" bestFit="1" customWidth="1"/>
    <col min="2" max="2" width="19.28515625" style="7" customWidth="1"/>
    <col min="3" max="3" width="48.7109375" style="7" customWidth="1"/>
    <col min="4" max="4" width="13" style="7" customWidth="1"/>
    <col min="5" max="5" width="10.28515625" style="7" bestFit="1" customWidth="1"/>
    <col min="6" max="6" width="10.7109375" style="7" customWidth="1"/>
    <col min="7" max="7" width="10.5703125" style="7" bestFit="1" customWidth="1"/>
    <col min="8" max="8" width="12.85546875" style="7" customWidth="1"/>
    <col min="9" max="9" width="12.28515625" style="7" customWidth="1"/>
    <col min="10" max="10" width="9.42578125" style="7" customWidth="1"/>
    <col min="11" max="11" width="10.5703125" style="7" bestFit="1" customWidth="1"/>
    <col min="12" max="12" width="12.140625" style="7" customWidth="1"/>
    <col min="13" max="16384" width="8.85546875" style="7"/>
  </cols>
  <sheetData>
    <row r="1" spans="1:13" s="28" customFormat="1" ht="30" x14ac:dyDescent="0.25">
      <c r="A1" s="27" t="s">
        <v>140</v>
      </c>
      <c r="B1" s="27" t="s">
        <v>178</v>
      </c>
      <c r="C1" s="27" t="s">
        <v>156</v>
      </c>
      <c r="D1" s="27" t="s">
        <v>141</v>
      </c>
      <c r="E1" s="27" t="s">
        <v>142</v>
      </c>
      <c r="F1" s="27" t="s">
        <v>151</v>
      </c>
    </row>
    <row r="2" spans="1:13" ht="30" x14ac:dyDescent="0.25">
      <c r="A2" s="8" t="s">
        <v>147</v>
      </c>
      <c r="B2" s="41"/>
      <c r="C2" s="9" t="str">
        <f>"if("&amp;D2&amp;"&lt;10,seplist('',0,"&amp;D2&amp;"),"&amp;D2&amp;")"</f>
        <v>if(Number&lt;10,seplist('',0,Number),Number)</v>
      </c>
      <c r="D2" s="41" t="s">
        <v>146</v>
      </c>
      <c r="E2" s="8"/>
      <c r="F2" s="8"/>
    </row>
    <row r="3" spans="1:13" ht="60" x14ac:dyDescent="0.25">
      <c r="A3" s="8" t="s">
        <v>144</v>
      </c>
      <c r="B3" s="41"/>
      <c r="C3" s="9" t="str">
        <f>"case("&amp;D3&amp;",1,'JANUARY',2,'FEBRUARY',3,'MARCH',4,'APRIL',5,'MAY',6,'JUNE',7,'JULY',8,'AUGUST',9,'SEPTEMBER',10,'OCTOBER',11,'NOVEMBER',12,'DECEMBER','Invalid Month')"</f>
        <v>case(F46,1,'JANUARY',2,'FEBRUARY',3,'MARCH',4,'APRIL',5,'MAY',6,'JUNE',7,'JULY',8,'AUGUST',9,'SEPTEMBER',10,'OCTOBER',11,'NOVEMBER',12,'DECEMBER','Invalid Month')</v>
      </c>
      <c r="D3" s="41" t="s">
        <v>265</v>
      </c>
      <c r="E3" s="8"/>
      <c r="F3" s="8"/>
    </row>
    <row r="4" spans="1:13" ht="45" x14ac:dyDescent="0.25">
      <c r="A4" s="8" t="s">
        <v>145</v>
      </c>
      <c r="B4" s="41"/>
      <c r="C4" s="9" t="str">
        <f>"text(round(DAY(DATE("&amp;D4&amp;")),0))+case(DAY(DATE("&amp;D4&amp;")),11,'th',12,'th',13,'th',case(DAY(DATE("&amp;D4&amp;"))%10,1,'st',2,'nd',3,'rd','th'))"</f>
        <v>text(round(DAY(DATE(F47)),0))+case(DAY(DATE(F47)),11,'th',12,'th',13,'th',case(DAY(DATE(F47))%10,1,'st',2,'nd',3,'rd','th'))</v>
      </c>
      <c r="D4" s="41" t="s">
        <v>269</v>
      </c>
      <c r="E4" s="8"/>
      <c r="F4" s="8"/>
    </row>
    <row r="5" spans="1:13" ht="45" x14ac:dyDescent="0.25">
      <c r="A5" s="8" t="s">
        <v>149</v>
      </c>
      <c r="B5" s="41"/>
      <c r="C5" s="9" t="str">
        <f>"seplist(' ', seplist(',',"&amp;D5&amp;","&amp;E5&amp;"),"&amp;F5&amp;")"</f>
        <v>seplist(' ', seplist(',',F925,F926),F927)</v>
      </c>
      <c r="D5" s="41" t="s">
        <v>266</v>
      </c>
      <c r="E5" s="41" t="s">
        <v>267</v>
      </c>
      <c r="F5" s="41" t="s">
        <v>268</v>
      </c>
    </row>
    <row r="6" spans="1:13" ht="75" x14ac:dyDescent="0.25">
      <c r="A6" s="8" t="s">
        <v>175</v>
      </c>
      <c r="B6" s="41"/>
      <c r="C6" s="9" t="str">
        <f>"TEXT(ROUND("&amp;D6&amp;","&amp;E6&amp;"))"</f>
        <v>TEXT(ROUND(Number,Decimals))</v>
      </c>
      <c r="D6" s="41" t="s">
        <v>146</v>
      </c>
      <c r="E6" s="41" t="s">
        <v>254</v>
      </c>
      <c r="F6" s="8"/>
    </row>
    <row r="7" spans="1:13" ht="75" x14ac:dyDescent="0.25">
      <c r="A7" s="8" t="s">
        <v>176</v>
      </c>
      <c r="B7" s="41" t="s">
        <v>180</v>
      </c>
      <c r="C7" s="9" t="str">
        <f>"seplist('/',Month("&amp;D7&amp;"),Day("&amp;D7&amp;"),Year("&amp;D7&amp;")%100)"</f>
        <v>seplist('/',Month(PromptedDate),Day(PromptedDate),Year(PromptedDate)%100)</v>
      </c>
      <c r="D7" s="41" t="s">
        <v>177</v>
      </c>
      <c r="E7" s="8"/>
      <c r="F7" s="8"/>
      <c r="G7" s="34" t="s">
        <v>186</v>
      </c>
      <c r="H7" s="7" t="s">
        <v>181</v>
      </c>
      <c r="I7" s="7" t="s">
        <v>182</v>
      </c>
      <c r="J7" s="7" t="s">
        <v>183</v>
      </c>
      <c r="K7" s="7" t="s">
        <v>184</v>
      </c>
      <c r="L7" s="7" t="s">
        <v>185</v>
      </c>
      <c r="M7" s="7" t="s">
        <v>187</v>
      </c>
    </row>
    <row r="8" spans="1:13" ht="45" x14ac:dyDescent="0.25">
      <c r="A8" s="8" t="s">
        <v>258</v>
      </c>
      <c r="B8" s="41"/>
      <c r="C8" s="9" t="str">
        <f>"IF("&amp;D8&amp;" !=  0,ROUND("&amp;D8&amp;","&amp;E8&amp;"))"</f>
        <v>IF(Number !=  0,ROUND(Number,Decimals))</v>
      </c>
      <c r="D8" s="41" t="s">
        <v>146</v>
      </c>
      <c r="E8" s="41" t="s">
        <v>254</v>
      </c>
      <c r="F8" s="8"/>
    </row>
  </sheetData>
  <pageMargins left="0.7" right="0.7" top="0.75" bottom="0.75" header="0.3" footer="0.3"/>
  <pageSetup orientation="portrait" horizontalDpi="240" verticalDpi="240" r:id="rId1"/>
  <headerFooter>
    <oddFooter xml:space="preserve">&amp;L_x000D_&amp;1#&amp;"Calibri"&amp;10&amp;K000000 Internal </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Title="Number of decimals in the number" error="Whole Number = 0_x000a_Money = 2_x000a_APR = 3_x000a_Money Factor = 5" promptTitle="Number of decimals in the number" prompt="Whole Number = 0_x000a_Money = 2_x000a_APR = 3_x000a_Money Factor = 5" xr:uid="{C39EB5CA-F7B1-420F-8EFB-C665009D9D64}">
          <x14:formula1>
            <xm:f>'Formula Data(DO NOT MODIFY)'!$E$1:$E$7</xm:f>
          </x14:formula1>
          <xm:sqref>E8 E6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CC09B-4DC5-49F1-BA8B-A594E5EFD8C9}">
  <sheetPr codeName="Sheet4"/>
  <dimension ref="A1:G8"/>
  <sheetViews>
    <sheetView showGridLines="0" showRowColHeaders="0" workbookViewId="0">
      <selection activeCell="D51" sqref="D51"/>
    </sheetView>
  </sheetViews>
  <sheetFormatPr defaultRowHeight="15" x14ac:dyDescent="0.25"/>
  <cols>
    <col min="1" max="1" width="17.7109375" bestFit="1" customWidth="1"/>
    <col min="7" max="7" width="2.7109375" customWidth="1"/>
  </cols>
  <sheetData>
    <row r="1" spans="1:7" x14ac:dyDescent="0.25">
      <c r="A1" s="30" t="s">
        <v>158</v>
      </c>
      <c r="B1" s="30" t="s">
        <v>159</v>
      </c>
      <c r="C1" s="30" t="s">
        <v>160</v>
      </c>
      <c r="D1" s="30" t="s">
        <v>165</v>
      </c>
      <c r="E1" s="30" t="s">
        <v>161</v>
      </c>
      <c r="F1" s="30" t="s">
        <v>162</v>
      </c>
      <c r="G1" s="29"/>
    </row>
    <row r="2" spans="1:7" x14ac:dyDescent="0.25">
      <c r="A2" s="30" t="s">
        <v>163</v>
      </c>
      <c r="B2" s="30" t="s">
        <v>164</v>
      </c>
      <c r="C2" s="31" t="str">
        <f>E2&amp;"+"&amp;F2&amp;"="</f>
        <v>1+1=</v>
      </c>
      <c r="D2" s="32">
        <f>E2+F2</f>
        <v>2</v>
      </c>
      <c r="E2" s="40">
        <v>1</v>
      </c>
      <c r="F2" s="40">
        <v>1</v>
      </c>
      <c r="G2" s="29"/>
    </row>
    <row r="3" spans="1:7" x14ac:dyDescent="0.25">
      <c r="A3" s="30" t="s">
        <v>166</v>
      </c>
      <c r="B3" s="30" t="s">
        <v>60</v>
      </c>
      <c r="C3" s="31" t="str">
        <f>E3&amp;"-"&amp;F3&amp;"="</f>
        <v>42-1=</v>
      </c>
      <c r="D3" s="32">
        <f>E3-F3</f>
        <v>41</v>
      </c>
      <c r="E3" s="40">
        <v>42</v>
      </c>
      <c r="F3" s="40">
        <v>1</v>
      </c>
      <c r="G3" s="29"/>
    </row>
    <row r="4" spans="1:7" x14ac:dyDescent="0.25">
      <c r="A4" s="30" t="s">
        <v>167</v>
      </c>
      <c r="B4" s="30" t="s">
        <v>168</v>
      </c>
      <c r="C4" s="31" t="str">
        <f>E4&amp;"*"&amp;F4&amp;"="</f>
        <v>3*14=</v>
      </c>
      <c r="D4" s="32">
        <f>E4*F4</f>
        <v>42</v>
      </c>
      <c r="E4" s="40">
        <v>3</v>
      </c>
      <c r="F4" s="40">
        <v>14</v>
      </c>
      <c r="G4" s="29"/>
    </row>
    <row r="5" spans="1:7" x14ac:dyDescent="0.25">
      <c r="A5" s="30" t="s">
        <v>169</v>
      </c>
      <c r="B5" s="30" t="s">
        <v>170</v>
      </c>
      <c r="C5" s="31" t="str">
        <f>E5&amp;"/"&amp;F5&amp;"="</f>
        <v>42/3=</v>
      </c>
      <c r="D5" s="32">
        <f>E5/F5</f>
        <v>14</v>
      </c>
      <c r="E5" s="40">
        <v>42</v>
      </c>
      <c r="F5" s="40">
        <v>3</v>
      </c>
      <c r="G5" s="29"/>
    </row>
    <row r="6" spans="1:7" x14ac:dyDescent="0.25">
      <c r="A6" s="30" t="s">
        <v>171</v>
      </c>
      <c r="B6" s="30" t="s">
        <v>172</v>
      </c>
      <c r="C6" s="31" t="str">
        <f>E6&amp;"%"&amp;F6&amp;"="</f>
        <v>43%5=</v>
      </c>
      <c r="D6" s="32">
        <f>MOD(E6,F6)</f>
        <v>3</v>
      </c>
      <c r="E6" s="40">
        <v>43</v>
      </c>
      <c r="F6" s="40">
        <v>5</v>
      </c>
      <c r="G6" s="29"/>
    </row>
    <row r="7" spans="1:7" x14ac:dyDescent="0.25">
      <c r="A7" s="30" t="s">
        <v>174</v>
      </c>
      <c r="B7" s="33" t="s">
        <v>173</v>
      </c>
      <c r="C7" s="31" t="str">
        <f>E7&amp;"e"&amp;F7&amp;"="</f>
        <v>1e-2=</v>
      </c>
      <c r="D7" s="32">
        <f>E7*POWER(10,F7)</f>
        <v>0.01</v>
      </c>
      <c r="E7" s="40">
        <v>1</v>
      </c>
      <c r="F7" s="40">
        <v>-2</v>
      </c>
      <c r="G7" s="29"/>
    </row>
    <row r="8" spans="1:7" x14ac:dyDescent="0.25">
      <c r="A8" s="29"/>
      <c r="B8" s="29"/>
      <c r="C8" s="29"/>
      <c r="D8" s="29"/>
      <c r="E8" s="29"/>
      <c r="F8" s="29"/>
      <c r="G8" s="29"/>
    </row>
  </sheetData>
  <sheetProtection sheet="1" objects="1" scenarios="1"/>
  <pageMargins left="0.7" right="0.7" top="0.75" bottom="0.75" header="0.3" footer="0.3"/>
  <pageSetup orientation="portrait" horizontalDpi="240" verticalDpi="240" r:id="rId1"/>
  <headerFooter>
    <oddFooter xml:space="preserve">&amp;L_x000D_&amp;1#&amp;"Calibri"&amp;10&amp;K000000 Internal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E81F1-6A19-4AA0-95DC-AE7137F1900D}">
  <sheetPr codeName="Sheet5"/>
  <dimension ref="A1:K13"/>
  <sheetViews>
    <sheetView showGridLines="0" workbookViewId="0">
      <selection activeCell="A3" sqref="A3:J3"/>
    </sheetView>
  </sheetViews>
  <sheetFormatPr defaultColWidth="8.85546875" defaultRowHeight="15" x14ac:dyDescent="0.25"/>
  <cols>
    <col min="1" max="1" width="8.5703125" style="35" bestFit="1" customWidth="1"/>
    <col min="2" max="2" width="25.28515625" style="35" bestFit="1" customWidth="1"/>
    <col min="3" max="3" width="41.85546875" style="35" bestFit="1" customWidth="1"/>
    <col min="4" max="4" width="19" style="35" bestFit="1" customWidth="1"/>
    <col min="5" max="5" width="20.85546875" style="35" bestFit="1" customWidth="1"/>
    <col min="6" max="6" width="20.85546875" style="35" customWidth="1"/>
    <col min="7" max="7" width="12.5703125" style="35" bestFit="1" customWidth="1"/>
    <col min="8" max="10" width="13.140625" style="35" customWidth="1"/>
    <col min="11" max="11" width="3.5703125" style="35" customWidth="1"/>
    <col min="12" max="16384" width="8.85546875" style="35"/>
  </cols>
  <sheetData>
    <row r="1" spans="1:11" ht="27.75" x14ac:dyDescent="0.35">
      <c r="A1" s="36" t="s">
        <v>150</v>
      </c>
      <c r="B1" s="37" t="s">
        <v>193</v>
      </c>
      <c r="C1" s="37" t="s">
        <v>188</v>
      </c>
      <c r="D1" s="37" t="s">
        <v>189</v>
      </c>
      <c r="E1" s="37" t="s">
        <v>190</v>
      </c>
      <c r="F1" s="37" t="s">
        <v>259</v>
      </c>
      <c r="G1" s="38" t="s">
        <v>191</v>
      </c>
      <c r="H1" s="38" t="s">
        <v>192</v>
      </c>
      <c r="I1" s="50" t="s">
        <v>261</v>
      </c>
      <c r="J1" s="51" t="s">
        <v>260</v>
      </c>
      <c r="K1" s="48"/>
    </row>
    <row r="2" spans="1:11" s="47" customFormat="1" ht="30" customHeight="1" x14ac:dyDescent="0.25">
      <c r="A2" s="52" t="s">
        <v>227</v>
      </c>
      <c r="B2" s="52"/>
      <c r="C2" s="52" t="s">
        <v>255</v>
      </c>
      <c r="D2" s="52" t="s">
        <v>256</v>
      </c>
      <c r="E2" s="52" t="s">
        <v>257</v>
      </c>
      <c r="F2" s="52"/>
      <c r="G2" s="52"/>
      <c r="H2" s="52"/>
      <c r="I2" s="52"/>
      <c r="J2" s="52"/>
      <c r="K2" s="49"/>
    </row>
    <row r="3" spans="1:11" x14ac:dyDescent="0.25">
      <c r="A3" s="54" t="str">
        <f>IF(AND(ISBLANK(A2),ISBLANK(B2),ISBLANK(C2),ISBLANK(D2),ISBLANK(E2),ISBLANK(F2),ISBLANK(G2),ISBLANK(H2)),"",TRIM(SUBSTITUTE(IF(OR(G2="true",G2="yes",G2="y",G2="t"),IF(OR(H2="true",H2="yes",H2="y",H2="t"),"LAW "&amp;IF(NOT(ISBLANK(D2)),D2,"")&amp;" "&amp;IF(NOT(ISBLANK(E2)),SUBSTITUTE(E2,"/","-"),"")&amp;" "&amp;IF(NOT(ISBLANK(B2)),B2,"")&amp;" "&amp;IF(NOT(ISBLANK(C2)),C2,"")&amp;" "&amp;IF(NOT(ISBLANK(F2)),"("&amp;F2&amp;")","")&amp;IF(OR(I2="true",I2="yes",I2="y",I2="t")," - Custom","")&amp;IF(OR(J2="true",J2="yes",J2="y",J2="t")," - VM",""),IF(NOT(ISBLANK(A2)),UPPER(A2),"")&amp;" "&amp;IF(NOT(ISBLANK(B2)),B2,"")&amp;" "&amp;IF(NOT(ISBLANK(C2)),C2,"")&amp;" ("&amp;IF(NOT(ISBLANK(D2)),D2,"")&amp;" "&amp;IF(NOT(ISBLANK(F2)),"["&amp;F2&amp;"]","")&amp;" ["&amp;IF(NOT(ISBLANK(E2)),SUBSTITUTE(E2,"/","-"),"")&amp;"])"&amp;IF(OR(I2="true",I2="yes",I2="y",I2="t")," - Custom","")&amp;IF(OR(J2="true",J2="yes",J2="y",J2="t")," - VM","")),IF(OR(H2="true",H2="yes",H2="y",H2="t"),"LAW "&amp;IF(NOT(ISBLANK(B2)),B2,"")&amp;" "&amp;IF(NOT(ISBLANK(C2)),C2,"")&amp;" [LAW "&amp;IF(NOT(ISBLANK(D2)),D2,"")&amp;" "&amp;IF(NOT(ISBLANK(E2)),SUBSTITUTE(E2,"/","-"),"")&amp;" "&amp;IF(NOT(ISBLANK(F2)),"("&amp;F2&amp;")","")&amp;"]"&amp;IF(OR(I2="true",I2="yes",I2="y",I2="t")," - Custom",""),IF(NOT(ISBLANK(A2)),UPPER(A2),"")&amp;" "&amp;IF(NOT(ISBLANK(B2)),B2,"")&amp;" "&amp;IF(NOT(ISBLANK(C2)),C2,"")&amp;" ["&amp;IF(NOT(ISBLANK(D2)),D2,"")&amp;" "&amp;IF(NOT(ISBLANK(F2)),"("&amp;F2&amp;")","")&amp;" ("&amp;IF(NOT(ISBLANK(E2)),SUBSTITUTE(E2,"/","-"),"")&amp;")]"&amp;IF(OR(I2="true",I2="yes",I2="y",I2="t")," - Custom","")&amp;IF(OR(J2="true",J2="yes",J2="y",J2="t")," - VM",""))),"/","-")))</f>
        <v>NY Retail Installment Contract [553-NY (10-18)]</v>
      </c>
      <c r="B3" s="55"/>
      <c r="C3" s="55"/>
      <c r="D3" s="55"/>
      <c r="E3" s="55"/>
      <c r="F3" s="55"/>
      <c r="G3" s="55"/>
      <c r="H3" s="55"/>
      <c r="I3" s="55"/>
      <c r="J3" s="55"/>
      <c r="K3" s="48"/>
    </row>
    <row r="4" spans="1:11" ht="31.5" customHeight="1" x14ac:dyDescent="0.25">
      <c r="A4" s="48"/>
      <c r="B4" s="48"/>
      <c r="C4" s="48"/>
      <c r="D4" s="29"/>
      <c r="E4" s="48"/>
      <c r="F4" s="48"/>
      <c r="G4" s="48"/>
      <c r="H4" s="48"/>
      <c r="I4" s="48"/>
      <c r="J4" s="48"/>
      <c r="K4" s="48"/>
    </row>
    <row r="13" spans="1:11" x14ac:dyDescent="0.25">
      <c r="C13"/>
    </row>
  </sheetData>
  <mergeCells count="1">
    <mergeCell ref="A3:J3"/>
  </mergeCells>
  <conditionalFormatting sqref="A2">
    <cfRule type="expression" dxfId="0" priority="1">
      <formula>OR(NOT(ISBLANK($H$2)),$H$2="n",$H$2="no",$H$2="f",$H$2="false")</formula>
    </cfRule>
  </conditionalFormatting>
  <pageMargins left="0.7" right="0.7" top="0.75" bottom="0.75" header="0.3" footer="0.3"/>
  <pageSetup orientation="portrait" r:id="rId1"/>
  <headerFooter>
    <oddFooter xml:space="preserve">&amp;L_x000D_&amp;1#&amp;"Calibri"&amp;10&amp;K000000 Internal </oddFooter>
  </headerFooter>
  <drawing r:id="rId2"/>
  <legacyDrawing r:id="rId3"/>
  <controls>
    <mc:AlternateContent xmlns:mc="http://schemas.openxmlformats.org/markup-compatibility/2006">
      <mc:Choice Requires="x14">
        <control shapeId="1030" r:id="rId4" name="LaunchButton">
          <controlPr defaultSize="0" autoLine="0" r:id="rId5">
            <anchor moveWithCells="1">
              <from>
                <xdr:col>7</xdr:col>
                <xdr:colOff>523875</xdr:colOff>
                <xdr:row>3</xdr:row>
                <xdr:rowOff>57150</xdr:rowOff>
              </from>
              <to>
                <xdr:col>8</xdr:col>
                <xdr:colOff>219075</xdr:colOff>
                <xdr:row>3</xdr:row>
                <xdr:rowOff>381000</xdr:rowOff>
              </to>
            </anchor>
          </controlPr>
        </control>
      </mc:Choice>
      <mc:Fallback>
        <control shapeId="1030" r:id="rId4" name="LaunchButton"/>
      </mc:Fallback>
    </mc:AlternateContent>
    <mc:AlternateContent xmlns:mc="http://schemas.openxmlformats.org/markup-compatibility/2006">
      <mc:Choice Requires="x14">
        <control shapeId="1029" r:id="rId6" name="Sample">
          <controlPr defaultSize="0" autoLine="0" r:id="rId7">
            <anchor moveWithCells="1">
              <from>
                <xdr:col>2</xdr:col>
                <xdr:colOff>1314450</xdr:colOff>
                <xdr:row>3</xdr:row>
                <xdr:rowOff>57150</xdr:rowOff>
              </from>
              <to>
                <xdr:col>2</xdr:col>
                <xdr:colOff>1914525</xdr:colOff>
                <xdr:row>3</xdr:row>
                <xdr:rowOff>381000</xdr:rowOff>
              </to>
            </anchor>
          </controlPr>
        </control>
      </mc:Choice>
      <mc:Fallback>
        <control shapeId="1029" r:id="rId6" name="Sample"/>
      </mc:Fallback>
    </mc:AlternateContent>
    <mc:AlternateContent xmlns:mc="http://schemas.openxmlformats.org/markup-compatibility/2006">
      <mc:Choice Requires="x14">
        <control shapeId="1027" r:id="rId8" name="ClearButton">
          <controlPr defaultSize="0" autoLine="0" r:id="rId9">
            <anchor moveWithCells="1">
              <from>
                <xdr:col>5</xdr:col>
                <xdr:colOff>428625</xdr:colOff>
                <xdr:row>3</xdr:row>
                <xdr:rowOff>38100</xdr:rowOff>
              </from>
              <to>
                <xdr:col>5</xdr:col>
                <xdr:colOff>895350</xdr:colOff>
                <xdr:row>3</xdr:row>
                <xdr:rowOff>361950</xdr:rowOff>
              </to>
            </anchor>
          </controlPr>
        </control>
      </mc:Choice>
      <mc:Fallback>
        <control shapeId="1027" r:id="rId8" name="ClearButton"/>
      </mc:Fallback>
    </mc:AlternateContent>
    <mc:AlternateContent xmlns:mc="http://schemas.openxmlformats.org/markup-compatibility/2006">
      <mc:Choice Requires="x14">
        <control shapeId="1025" r:id="rId10" name="CopyButton">
          <controlPr defaultSize="0" autoLine="0" r:id="rId11">
            <anchor moveWithCells="1">
              <from>
                <xdr:col>3</xdr:col>
                <xdr:colOff>400050</xdr:colOff>
                <xdr:row>3</xdr:row>
                <xdr:rowOff>47625</xdr:rowOff>
              </from>
              <to>
                <xdr:col>4</xdr:col>
                <xdr:colOff>219075</xdr:colOff>
                <xdr:row>3</xdr:row>
                <xdr:rowOff>371475</xdr:rowOff>
              </to>
            </anchor>
          </controlPr>
        </control>
      </mc:Choice>
      <mc:Fallback>
        <control shapeId="1025" r:id="rId10" name="Copy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errorTitle="Invalid State" error="Must be a valid 2 character state code" promptTitle="State" prompt="Must be a valid 2 character state code" xr:uid="{7699C4F7-9A43-4512-B2BF-26B07804C700}">
          <x14:formula1>
            <xm:f>'Formula Data(DO NOT MODIFY)'!$A$2:$A$52</xm:f>
          </x14:formula1>
          <xm:sqref>A2</xm:sqref>
        </x14:dataValidation>
        <x14:dataValidation type="list" allowBlank="1" showInputMessage="1" showErrorMessage="1" errorTitle="Invalid data" error="No = No, n, FALSE, f, and BLANK_x000a_Yes = Yes, y, TRUE, and t" promptTitle="Yes/No" prompt="No = No, n, FALSE, f, and BLANK_x000a_Yes = Yes, y, TRUE, and t" xr:uid="{CCC61042-1186-440A-A9ED-CBCB3F0C2022}">
          <x14:formula1>
            <xm:f>'Formula Data(DO NOT MODIFY)'!$D$2:$D$9</xm:f>
          </x14:formula1>
          <xm:sqref>G2:J2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349B8-4E67-46A6-8CF8-D2952045BFEC}">
  <sheetPr codeName="Sheet6"/>
  <dimension ref="A1:E52"/>
  <sheetViews>
    <sheetView workbookViewId="0">
      <selection activeCell="D51" sqref="D51"/>
    </sheetView>
  </sheetViews>
  <sheetFormatPr defaultRowHeight="15" x14ac:dyDescent="0.25"/>
  <sheetData>
    <row r="1" spans="1:5" x14ac:dyDescent="0.25">
      <c r="A1" t="s">
        <v>194</v>
      </c>
      <c r="B1" t="s">
        <v>143</v>
      </c>
      <c r="C1" t="s">
        <v>246</v>
      </c>
      <c r="D1" t="s">
        <v>247</v>
      </c>
      <c r="E1" t="s">
        <v>254</v>
      </c>
    </row>
    <row r="2" spans="1:5" x14ac:dyDescent="0.25">
      <c r="A2" s="39" t="s">
        <v>195</v>
      </c>
      <c r="B2" t="str">
        <f>"1e6"</f>
        <v>1e6</v>
      </c>
      <c r="C2" t="b">
        <v>1</v>
      </c>
      <c r="D2" t="s">
        <v>248</v>
      </c>
      <c r="E2">
        <v>0</v>
      </c>
    </row>
    <row r="3" spans="1:5" x14ac:dyDescent="0.25">
      <c r="A3" s="39" t="s">
        <v>196</v>
      </c>
      <c r="B3" t="str">
        <f>"1e4"</f>
        <v>1e4</v>
      </c>
      <c r="C3" t="b">
        <v>0</v>
      </c>
      <c r="D3" t="s">
        <v>249</v>
      </c>
      <c r="E3">
        <v>1</v>
      </c>
    </row>
    <row r="4" spans="1:5" x14ac:dyDescent="0.25">
      <c r="A4" s="39" t="s">
        <v>197</v>
      </c>
      <c r="D4" t="b">
        <v>1</v>
      </c>
      <c r="E4">
        <v>2</v>
      </c>
    </row>
    <row r="5" spans="1:5" x14ac:dyDescent="0.25">
      <c r="A5" s="39" t="s">
        <v>198</v>
      </c>
      <c r="D5" t="b">
        <v>0</v>
      </c>
      <c r="E5">
        <v>3</v>
      </c>
    </row>
    <row r="6" spans="1:5" x14ac:dyDescent="0.25">
      <c r="A6" s="39" t="s">
        <v>199</v>
      </c>
      <c r="D6" t="s">
        <v>250</v>
      </c>
      <c r="E6">
        <v>4</v>
      </c>
    </row>
    <row r="7" spans="1:5" x14ac:dyDescent="0.25">
      <c r="A7" s="39" t="s">
        <v>200</v>
      </c>
      <c r="D7" t="s">
        <v>251</v>
      </c>
      <c r="E7">
        <v>5</v>
      </c>
    </row>
    <row r="8" spans="1:5" x14ac:dyDescent="0.25">
      <c r="A8" s="39" t="s">
        <v>201</v>
      </c>
      <c r="D8" t="s">
        <v>252</v>
      </c>
    </row>
    <row r="9" spans="1:5" x14ac:dyDescent="0.25">
      <c r="A9" s="39" t="s">
        <v>202</v>
      </c>
      <c r="D9" t="s">
        <v>253</v>
      </c>
    </row>
    <row r="10" spans="1:5" x14ac:dyDescent="0.25">
      <c r="A10" s="39" t="s">
        <v>203</v>
      </c>
    </row>
    <row r="11" spans="1:5" x14ac:dyDescent="0.25">
      <c r="A11" s="39" t="s">
        <v>204</v>
      </c>
    </row>
    <row r="12" spans="1:5" x14ac:dyDescent="0.25">
      <c r="A12" s="39" t="s">
        <v>205</v>
      </c>
    </row>
    <row r="13" spans="1:5" x14ac:dyDescent="0.25">
      <c r="A13" s="39" t="s">
        <v>206</v>
      </c>
    </row>
    <row r="14" spans="1:5" x14ac:dyDescent="0.25">
      <c r="A14" s="39" t="s">
        <v>207</v>
      </c>
    </row>
    <row r="15" spans="1:5" x14ac:dyDescent="0.25">
      <c r="A15" s="39" t="s">
        <v>208</v>
      </c>
    </row>
    <row r="16" spans="1:5" x14ac:dyDescent="0.25">
      <c r="A16" s="39" t="s">
        <v>209</v>
      </c>
    </row>
    <row r="17" spans="1:1" x14ac:dyDescent="0.25">
      <c r="A17" s="39" t="s">
        <v>210</v>
      </c>
    </row>
    <row r="18" spans="1:1" x14ac:dyDescent="0.25">
      <c r="A18" s="39" t="s">
        <v>211</v>
      </c>
    </row>
    <row r="19" spans="1:1" x14ac:dyDescent="0.25">
      <c r="A19" s="39" t="s">
        <v>212</v>
      </c>
    </row>
    <row r="20" spans="1:1" x14ac:dyDescent="0.25">
      <c r="A20" s="39" t="s">
        <v>213</v>
      </c>
    </row>
    <row r="21" spans="1:1" x14ac:dyDescent="0.25">
      <c r="A21" s="39" t="s">
        <v>214</v>
      </c>
    </row>
    <row r="22" spans="1:1" x14ac:dyDescent="0.25">
      <c r="A22" s="39" t="s">
        <v>215</v>
      </c>
    </row>
    <row r="23" spans="1:1" x14ac:dyDescent="0.25">
      <c r="A23" s="39" t="s">
        <v>216</v>
      </c>
    </row>
    <row r="24" spans="1:1" x14ac:dyDescent="0.25">
      <c r="A24" s="39" t="s">
        <v>218</v>
      </c>
    </row>
    <row r="25" spans="1:1" x14ac:dyDescent="0.25">
      <c r="A25" s="39" t="s">
        <v>219</v>
      </c>
    </row>
    <row r="26" spans="1:1" x14ac:dyDescent="0.25">
      <c r="A26" s="39" t="s">
        <v>217</v>
      </c>
    </row>
    <row r="27" spans="1:1" x14ac:dyDescent="0.25">
      <c r="A27" s="39" t="s">
        <v>220</v>
      </c>
    </row>
    <row r="28" spans="1:1" x14ac:dyDescent="0.25">
      <c r="A28" s="39" t="s">
        <v>221</v>
      </c>
    </row>
    <row r="29" spans="1:1" x14ac:dyDescent="0.25">
      <c r="A29" s="39" t="s">
        <v>222</v>
      </c>
    </row>
    <row r="30" spans="1:1" x14ac:dyDescent="0.25">
      <c r="A30" s="39" t="s">
        <v>223</v>
      </c>
    </row>
    <row r="31" spans="1:1" x14ac:dyDescent="0.25">
      <c r="A31" s="39" t="s">
        <v>224</v>
      </c>
    </row>
    <row r="32" spans="1:1" x14ac:dyDescent="0.25">
      <c r="A32" s="39" t="s">
        <v>225</v>
      </c>
    </row>
    <row r="33" spans="1:1" x14ac:dyDescent="0.25">
      <c r="A33" s="39" t="s">
        <v>226</v>
      </c>
    </row>
    <row r="34" spans="1:1" x14ac:dyDescent="0.25">
      <c r="A34" s="39" t="s">
        <v>227</v>
      </c>
    </row>
    <row r="35" spans="1:1" x14ac:dyDescent="0.25">
      <c r="A35" s="39" t="s">
        <v>228</v>
      </c>
    </row>
    <row r="36" spans="1:1" x14ac:dyDescent="0.25">
      <c r="A36" s="39" t="s">
        <v>229</v>
      </c>
    </row>
    <row r="37" spans="1:1" x14ac:dyDescent="0.25">
      <c r="A37" s="39" t="s">
        <v>230</v>
      </c>
    </row>
    <row r="38" spans="1:1" x14ac:dyDescent="0.25">
      <c r="A38" s="39" t="s">
        <v>231</v>
      </c>
    </row>
    <row r="39" spans="1:1" x14ac:dyDescent="0.25">
      <c r="A39" s="39" t="s">
        <v>232</v>
      </c>
    </row>
    <row r="40" spans="1:1" x14ac:dyDescent="0.25">
      <c r="A40" s="39" t="s">
        <v>233</v>
      </c>
    </row>
    <row r="41" spans="1:1" x14ac:dyDescent="0.25">
      <c r="A41" s="39" t="s">
        <v>234</v>
      </c>
    </row>
    <row r="42" spans="1:1" x14ac:dyDescent="0.25">
      <c r="A42" s="39" t="s">
        <v>235</v>
      </c>
    </row>
    <row r="43" spans="1:1" x14ac:dyDescent="0.25">
      <c r="A43" s="39" t="s">
        <v>236</v>
      </c>
    </row>
    <row r="44" spans="1:1" x14ac:dyDescent="0.25">
      <c r="A44" s="39" t="s">
        <v>237</v>
      </c>
    </row>
    <row r="45" spans="1:1" x14ac:dyDescent="0.25">
      <c r="A45" s="39" t="s">
        <v>238</v>
      </c>
    </row>
    <row r="46" spans="1:1" x14ac:dyDescent="0.25">
      <c r="A46" s="39" t="s">
        <v>239</v>
      </c>
    </row>
    <row r="47" spans="1:1" x14ac:dyDescent="0.25">
      <c r="A47" s="39" t="s">
        <v>240</v>
      </c>
    </row>
    <row r="48" spans="1:1" x14ac:dyDescent="0.25">
      <c r="A48" s="39" t="s">
        <v>241</v>
      </c>
    </row>
    <row r="49" spans="1:1" x14ac:dyDescent="0.25">
      <c r="A49" s="39" t="s">
        <v>242</v>
      </c>
    </row>
    <row r="50" spans="1:1" x14ac:dyDescent="0.25">
      <c r="A50" s="39" t="s">
        <v>243</v>
      </c>
    </row>
    <row r="51" spans="1:1" x14ac:dyDescent="0.25">
      <c r="A51" s="39" t="s">
        <v>244</v>
      </c>
    </row>
    <row r="52" spans="1:1" x14ac:dyDescent="0.25">
      <c r="A52" s="39" t="s">
        <v>245</v>
      </c>
    </row>
  </sheetData>
  <sheetProtection sheet="1" objects="1" scenarios="1"/>
  <pageMargins left="0.7" right="0.7" top="0.75" bottom="0.75" header="0.3" footer="0.3"/>
  <pageSetup orientation="portrait" r:id="rId1"/>
  <headerFooter>
    <oddFooter xml:space="preserve">&amp;L_x000D_&amp;1#&amp;"Calibri"&amp;10&amp;K000000 Internal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B196-B6A8-4E55-BC1E-5DEDABB423B0}">
  <sheetPr codeName="Sheet7"/>
  <dimension ref="A1"/>
  <sheetViews>
    <sheetView topLeftCell="A3" workbookViewId="0">
      <selection activeCell="H17" sqref="H17"/>
    </sheetView>
  </sheetViews>
  <sheetFormatPr defaultRowHeight="15" x14ac:dyDescent="0.25"/>
  <sheetData/>
  <pageMargins left="0.7" right="0.7" top="0.75" bottom="0.75" header="0.3" footer="0.3"/>
  <pageSetup orientation="portrait" r:id="rId1"/>
  <headerFooter>
    <oddFooter xml:space="preserve">&amp;L_x000D_&amp;1#&amp;"Calibri"&amp;10&amp;K000000 Internal </oddFooter>
  </headerFooter>
  <drawing r:id="rId2"/>
  <legacyDrawing r:id="rId3"/>
  <controls>
    <mc:AlternateContent xmlns:mc="http://schemas.openxmlformats.org/markup-compatibility/2006">
      <mc:Choice Requires="x14">
        <control shapeId="7169" r:id="rId4" name="Launch">
          <controlPr defaultSize="0" autoLine="0" r:id="rId5">
            <anchor moveWithCells="1">
              <from>
                <xdr:col>2</xdr:col>
                <xdr:colOff>371475</xdr:colOff>
                <xdr:row>6</xdr:row>
                <xdr:rowOff>28575</xdr:rowOff>
              </from>
              <to>
                <xdr:col>3</xdr:col>
                <xdr:colOff>333375</xdr:colOff>
                <xdr:row>7</xdr:row>
                <xdr:rowOff>161925</xdr:rowOff>
              </to>
            </anchor>
          </controlPr>
        </control>
      </mc:Choice>
      <mc:Fallback>
        <control shapeId="7169" r:id="rId4" name="Launch"/>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B8B36CD8FF36141840E1F1EB25DB6E9" ma:contentTypeVersion="14" ma:contentTypeDescription="Create a new document." ma:contentTypeScope="" ma:versionID="d81e87c51bfa7b9953e675a821160774">
  <xsd:schema xmlns:xsd="http://www.w3.org/2001/XMLSchema" xmlns:xs="http://www.w3.org/2001/XMLSchema" xmlns:p="http://schemas.microsoft.com/office/2006/metadata/properties" xmlns:ns3="ad1d9aa1-4e4c-4135-9bd5-1df4b8e0c0ef" xmlns:ns4="84e53334-fbab-40ad-8ba7-c67ce12032a4" targetNamespace="http://schemas.microsoft.com/office/2006/metadata/properties" ma:root="true" ma:fieldsID="31f00429ed8a7f874430122455d54b09" ns3:_="" ns4:_="">
    <xsd:import namespace="ad1d9aa1-4e4c-4135-9bd5-1df4b8e0c0ef"/>
    <xsd:import namespace="84e53334-fbab-40ad-8ba7-c67ce12032a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GenerationTime" minOccurs="0"/>
                <xsd:element ref="ns4:MediaServiceEventHashCode" minOccurs="0"/>
                <xsd:element ref="ns4:MediaServiceLocation" minOccurs="0"/>
                <xsd:element ref="ns4:MediaServiceAutoKeyPoints" minOccurs="0"/>
                <xsd:element ref="ns4:MediaServiceKeyPoints"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d1d9aa1-4e4c-4135-9bd5-1df4b8e0c0e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4e53334-fbab-40ad-8ba7-c67ce12032a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5807C7B-5700-4776-A916-B5AA567D75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d1d9aa1-4e4c-4135-9bd5-1df4b8e0c0ef"/>
    <ds:schemaRef ds:uri="84e53334-fbab-40ad-8ba7-c67ce12032a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9148F3-DA21-4E68-8D74-7045B0B2C5F0}">
  <ds:schemaRefs>
    <ds:schemaRef ds:uri="http://schemas.openxmlformats.org/package/2006/metadata/core-properties"/>
    <ds:schemaRef ds:uri="http://schemas.microsoft.com/office/2006/documentManagement/types"/>
    <ds:schemaRef ds:uri="http://purl.org/dc/terms/"/>
    <ds:schemaRef ds:uri="http://purl.org/dc/dcmitype/"/>
    <ds:schemaRef ds:uri="84e53334-fbab-40ad-8ba7-c67ce12032a4"/>
    <ds:schemaRef ds:uri="http://purl.org/dc/elements/1.1/"/>
    <ds:schemaRef ds:uri="http://www.w3.org/XML/1998/namespace"/>
    <ds:schemaRef ds:uri="http://schemas.microsoft.com/office/infopath/2007/PartnerControls"/>
    <ds:schemaRef ds:uri="ad1d9aa1-4e4c-4135-9bd5-1df4b8e0c0ef"/>
    <ds:schemaRef ds:uri="http://schemas.microsoft.com/office/2006/metadata/properties"/>
  </ds:schemaRefs>
</ds:datastoreItem>
</file>

<file path=customXml/itemProps3.xml><?xml version="1.0" encoding="utf-8"?>
<ds:datastoreItem xmlns:ds="http://schemas.openxmlformats.org/officeDocument/2006/customXml" ds:itemID="{66F8C552-BAF1-490E-92A5-C900D80E69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Splash Page</vt:lpstr>
      <vt:lpstr>Base Functions</vt:lpstr>
      <vt:lpstr>Custom Formulae</vt:lpstr>
      <vt:lpstr>Math Operations</vt:lpstr>
      <vt:lpstr>Form Name Generator</vt:lpstr>
      <vt:lpstr>Formula Data(DO NOT MODIFY)</vt:lpstr>
      <vt:lpstr>Shhhh it's a secret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Dakota Jordan</dc:creator>
  <cp:lastModifiedBy>Jordan, Dakota</cp:lastModifiedBy>
  <dcterms:created xsi:type="dcterms:W3CDTF">2021-11-07T19:52:35Z</dcterms:created>
  <dcterms:modified xsi:type="dcterms:W3CDTF">2026-01-16T14:59:03Z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0x010100CB8B36CD8FF36141840E1F1EB25DB6E9</vt:lpwstr>
  </property>
  <property fmtid="{D5CDD505-2E9C-101B-9397-08002B2CF9AE}" pid="3" name="MSIP_Label_01d9bd1c-f51c-439e-8800-bd7c11f746db_Enabled">
    <vt:lpwstr>true</vt:lpwstr>
  </property>
  <property fmtid="{D5CDD505-2E9C-101B-9397-08002B2CF9AE}" pid="4" name="MSIP_Label_01d9bd1c-f51c-439e-8800-bd7c11f746db_SetDate">
    <vt:lpwstr>2023-08-09T15:00:50Z</vt:lpwstr>
  </property>
  <property fmtid="{D5CDD505-2E9C-101B-9397-08002B2CF9AE}" pid="5" name="MSIP_Label_01d9bd1c-f51c-439e-8800-bd7c11f746db_Method">
    <vt:lpwstr>Standard</vt:lpwstr>
  </property>
  <property fmtid="{D5CDD505-2E9C-101B-9397-08002B2CF9AE}" pid="6" name="MSIP_Label_01d9bd1c-f51c-439e-8800-bd7c11f746db_Name">
    <vt:lpwstr>Internal</vt:lpwstr>
  </property>
  <property fmtid="{D5CDD505-2E9C-101B-9397-08002B2CF9AE}" pid="7" name="MSIP_Label_01d9bd1c-f51c-439e-8800-bd7c11f746db_SiteId">
    <vt:lpwstr>c45b48f3-13bb-448b-9356-ba7b863c2189</vt:lpwstr>
  </property>
  <property fmtid="{D5CDD505-2E9C-101B-9397-08002B2CF9AE}" pid="8" name="MSIP_Label_01d9bd1c-f51c-439e-8800-bd7c11f746db_ActionId">
    <vt:lpwstr>89f42ae5-35cc-4198-909f-b704829abbd7</vt:lpwstr>
  </property>
  <property fmtid="{D5CDD505-2E9C-101B-9397-08002B2CF9AE}" pid="9" name="MSIP_Label_01d9bd1c-f51c-439e-8800-bd7c11f746db_ContentBits">
    <vt:lpwstr>2</vt:lpwstr>
  </property>
</Properties>
</file>